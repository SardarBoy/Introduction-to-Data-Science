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aryk\Downloads\"/>
    </mc:Choice>
  </mc:AlternateContent>
  <xr:revisionPtr revIDLastSave="0" documentId="13_ncr:1_{803CF68B-A5CD-4C61-A4C5-5949086F5C3F}" xr6:coauthVersionLast="47" xr6:coauthVersionMax="47" xr10:uidLastSave="{00000000-0000-0000-0000-000000000000}"/>
  <bookViews>
    <workbookView xWindow="1200" yWindow="3240" windowWidth="26580" windowHeight="11295" activeTab="3" xr2:uid="{00000000-000D-0000-FFFF-FFFF00000000}"/>
  </bookViews>
  <sheets>
    <sheet name="README" sheetId="1" r:id="rId1"/>
    <sheet name="Sheet1" sheetId="6" r:id="rId2"/>
    <sheet name="Social_Media_Posts" sheetId="2" r:id="rId3"/>
    <sheet name="Data_Dictionary" sheetId="3" r:id="rId4"/>
    <sheet name="Analysis_Prompts" sheetId="4" r:id="rId5"/>
    <sheet name="Resources" sheetId="5" r:id="rId6"/>
  </sheets>
  <calcPr calcId="181029"/>
  <pivotCaches>
    <pivotCache cacheId="12" r:id="rId7"/>
  </pivotCaches>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61" i="2" l="1"/>
  <c r="S61" i="2"/>
  <c r="T61" i="2" s="1"/>
  <c r="U60" i="2"/>
  <c r="S60" i="2"/>
  <c r="T60" i="2" s="1"/>
  <c r="U59" i="2"/>
  <c r="S59" i="2"/>
  <c r="T59" i="2" s="1"/>
  <c r="U58" i="2"/>
  <c r="S58" i="2"/>
  <c r="T58" i="2" s="1"/>
  <c r="U57" i="2"/>
  <c r="S57" i="2"/>
  <c r="T57" i="2" s="1"/>
  <c r="U56" i="2"/>
  <c r="S56" i="2"/>
  <c r="T56" i="2" s="1"/>
  <c r="U55" i="2"/>
  <c r="S55" i="2"/>
  <c r="T55" i="2" s="1"/>
  <c r="U54" i="2"/>
  <c r="S54" i="2"/>
  <c r="T54" i="2" s="1"/>
  <c r="U53" i="2"/>
  <c r="S53" i="2"/>
  <c r="T53" i="2" s="1"/>
  <c r="U52" i="2"/>
  <c r="S52" i="2"/>
  <c r="T52" i="2" s="1"/>
  <c r="U51" i="2"/>
  <c r="S51" i="2"/>
  <c r="T51" i="2" s="1"/>
  <c r="U50" i="2"/>
  <c r="S50" i="2"/>
  <c r="T50" i="2" s="1"/>
  <c r="U49" i="2"/>
  <c r="S49" i="2"/>
  <c r="T49" i="2" s="1"/>
  <c r="U48" i="2"/>
  <c r="S48" i="2"/>
  <c r="T48" i="2" s="1"/>
  <c r="U47" i="2"/>
  <c r="S47" i="2"/>
  <c r="T47" i="2" s="1"/>
  <c r="U46" i="2"/>
  <c r="S46" i="2"/>
  <c r="T46" i="2" s="1"/>
  <c r="U45" i="2"/>
  <c r="S45" i="2"/>
  <c r="T45" i="2" s="1"/>
  <c r="U44" i="2"/>
  <c r="S44" i="2"/>
  <c r="T44" i="2" s="1"/>
  <c r="U43" i="2"/>
  <c r="S43" i="2"/>
  <c r="T43" i="2" s="1"/>
  <c r="U42" i="2"/>
  <c r="S42" i="2"/>
  <c r="T42" i="2" s="1"/>
  <c r="U41" i="2"/>
  <c r="S41" i="2"/>
  <c r="T41" i="2" s="1"/>
  <c r="U40" i="2"/>
  <c r="S40" i="2"/>
  <c r="T40" i="2" s="1"/>
  <c r="U39" i="2"/>
  <c r="S39" i="2"/>
  <c r="T39" i="2" s="1"/>
  <c r="U38" i="2"/>
  <c r="S38" i="2"/>
  <c r="T38" i="2" s="1"/>
  <c r="U37" i="2"/>
  <c r="S37" i="2"/>
  <c r="T37" i="2" s="1"/>
  <c r="U36" i="2"/>
  <c r="S36" i="2"/>
  <c r="T36" i="2" s="1"/>
  <c r="U35" i="2"/>
  <c r="S35" i="2"/>
  <c r="T35" i="2" s="1"/>
  <c r="U34" i="2"/>
  <c r="S34" i="2"/>
  <c r="T34" i="2" s="1"/>
  <c r="U33" i="2"/>
  <c r="S33" i="2"/>
  <c r="T33" i="2" s="1"/>
  <c r="U32" i="2"/>
  <c r="S32" i="2"/>
  <c r="T32" i="2" s="1"/>
  <c r="U31" i="2"/>
  <c r="S31" i="2"/>
  <c r="T31" i="2" s="1"/>
  <c r="U30" i="2"/>
  <c r="S30" i="2"/>
  <c r="T30" i="2" s="1"/>
  <c r="U29" i="2"/>
  <c r="S29" i="2"/>
  <c r="T29" i="2" s="1"/>
  <c r="U28" i="2"/>
  <c r="S28" i="2"/>
  <c r="T28" i="2" s="1"/>
  <c r="U27" i="2"/>
  <c r="S27" i="2"/>
  <c r="T27" i="2" s="1"/>
  <c r="U26" i="2"/>
  <c r="S26" i="2"/>
  <c r="T26" i="2" s="1"/>
  <c r="U25" i="2"/>
  <c r="S25" i="2"/>
  <c r="T25" i="2" s="1"/>
  <c r="U24" i="2"/>
  <c r="S24" i="2"/>
  <c r="T24" i="2" s="1"/>
  <c r="U23" i="2"/>
  <c r="S23" i="2"/>
  <c r="T23" i="2" s="1"/>
  <c r="U22" i="2"/>
  <c r="S22" i="2"/>
  <c r="T22" i="2" s="1"/>
  <c r="U21" i="2"/>
  <c r="S21" i="2"/>
  <c r="T21" i="2" s="1"/>
  <c r="U20" i="2"/>
  <c r="S20" i="2"/>
  <c r="T20" i="2" s="1"/>
  <c r="U19" i="2"/>
  <c r="S19" i="2"/>
  <c r="T19" i="2" s="1"/>
  <c r="U18" i="2"/>
  <c r="S18" i="2"/>
  <c r="T18" i="2" s="1"/>
  <c r="U17" i="2"/>
  <c r="S17" i="2"/>
  <c r="T17" i="2" s="1"/>
  <c r="U16" i="2"/>
  <c r="S16" i="2"/>
  <c r="T16" i="2" s="1"/>
  <c r="U15" i="2"/>
  <c r="S15" i="2"/>
  <c r="T15" i="2" s="1"/>
  <c r="U14" i="2"/>
  <c r="S14" i="2"/>
  <c r="T14" i="2" s="1"/>
  <c r="U13" i="2"/>
  <c r="S13" i="2"/>
  <c r="T13" i="2" s="1"/>
  <c r="U12" i="2"/>
  <c r="S12" i="2"/>
  <c r="T12" i="2" s="1"/>
  <c r="U11" i="2"/>
  <c r="S11" i="2"/>
  <c r="T11" i="2" s="1"/>
  <c r="U10" i="2"/>
  <c r="S10" i="2"/>
  <c r="T10" i="2" s="1"/>
  <c r="U9" i="2"/>
  <c r="S9" i="2"/>
  <c r="T9" i="2" s="1"/>
  <c r="U8" i="2"/>
  <c r="S8" i="2"/>
  <c r="T8" i="2" s="1"/>
  <c r="U7" i="2"/>
  <c r="S7" i="2"/>
  <c r="T7" i="2" s="1"/>
  <c r="U6" i="2"/>
  <c r="S6" i="2"/>
  <c r="T6" i="2" s="1"/>
  <c r="U5" i="2"/>
  <c r="S5" i="2"/>
  <c r="T5" i="2" s="1"/>
  <c r="U4" i="2"/>
  <c r="S4" i="2"/>
  <c r="T4" i="2" s="1"/>
  <c r="U3" i="2"/>
  <c r="S3" i="2"/>
  <c r="T3" i="2" s="1"/>
  <c r="U2" i="2"/>
  <c r="S2" i="2"/>
  <c r="T2" i="2" s="1"/>
</calcChain>
</file>

<file path=xl/sharedStrings.xml><?xml version="1.0" encoding="utf-8"?>
<sst xmlns="http://schemas.openxmlformats.org/spreadsheetml/2006/main" count="993" uniqueCount="376">
  <si>
    <t>Commonwealth Bank Social Media Dataset</t>
  </si>
  <si>
    <t>Purpose</t>
  </si>
  <si>
    <t>This simulated dataset supports Task 3 of the Commonwealth Bank data science program. It mirrors the type of social media content and engagement information learners could analyze without requiring access to a live X/Twitter account.</t>
  </si>
  <si>
    <t>Important note</t>
  </si>
  <si>
    <t>All posts and metrics in this workbook are fictional and created for educational use. They should not be treated as real Commonwealth Bank posts, real customer comments, or real performance data.</t>
  </si>
  <si>
    <t>How learners can use it</t>
  </si>
  <si>
    <t>Use the Social_Media_Posts sheet to explore sentiment, engagement, customer pain points, recurring topics, and trends over time. The Data_Dictionary sheet explains each column and how it connects to social media/API concepts.</t>
  </si>
  <si>
    <t>Suggested analyses</t>
  </si>
  <si>
    <t>1. Identify the topics that appear most often. 2. Compare engagement across topics, formats, and post types. 3. Review positive, negative, neutral, and mixed sentiment. 4. Find posts with high views but low engagement. 5. Summarize customer questions, complaints, praise, and feature feedback.</t>
  </si>
  <si>
    <t>post_id</t>
  </si>
  <si>
    <t>post_datetime</t>
  </si>
  <si>
    <t>post_type</t>
  </si>
  <si>
    <t>author_type</t>
  </si>
  <si>
    <t>author_follower_bucket</t>
  </si>
  <si>
    <t>post_text</t>
  </si>
  <si>
    <t>topic</t>
  </si>
  <si>
    <t>content_format</t>
  </si>
  <si>
    <t>hashtags</t>
  </si>
  <si>
    <t>mentions_commbank</t>
  </si>
  <si>
    <t>sentiment_label</t>
  </si>
  <si>
    <t>sentiment_score</t>
  </si>
  <si>
    <t>likes</t>
  </si>
  <si>
    <t>replies</t>
  </si>
  <si>
    <t>reposts</t>
  </si>
  <si>
    <t>quote_posts</t>
  </si>
  <si>
    <t>views</t>
  </si>
  <si>
    <t>link_clicks</t>
  </si>
  <si>
    <t>total_engagements</t>
  </si>
  <si>
    <t>engagement_rate</t>
  </si>
  <si>
    <t>day_of_week</t>
  </si>
  <si>
    <t>customer_intent</t>
  </si>
  <si>
    <t>response_needed</t>
  </si>
  <si>
    <t>api_field_examples</t>
  </si>
  <si>
    <t>SM001</t>
  </si>
  <si>
    <t>Original post</t>
  </si>
  <si>
    <t>CommBank</t>
  </si>
  <si>
    <t>50k+</t>
  </si>
  <si>
    <t>Scam alert: We will never ask for your NetBank password or one-time code by text message. If a message feels suspicious, stop and check before clicking.</t>
  </si>
  <si>
    <t>Fraud &amp; scams</t>
  </si>
  <si>
    <t>Text + image</t>
  </si>
  <si>
    <t>#ScamAwareness #CyberSafety</t>
  </si>
  <si>
    <t>No</t>
  </si>
  <si>
    <t>Neutral</t>
  </si>
  <si>
    <t>Educational content</t>
  </si>
  <si>
    <t>text, created_at, public_metrics, entities.hashtags</t>
  </si>
  <si>
    <t>SM002</t>
  </si>
  <si>
    <t>Reply</t>
  </si>
  <si>
    <t>Customer</t>
  </si>
  <si>
    <t>0-500</t>
  </si>
  <si>
    <t>Thanks for the reminder. Nearly clicked on a fake delivery text yesterday and this made me double-check.</t>
  </si>
  <si>
    <t>Text</t>
  </si>
  <si>
    <t>Yes</t>
  </si>
  <si>
    <t>Positive</t>
  </si>
  <si>
    <t>Praise</t>
  </si>
  <si>
    <t>text, in_reply_to_user_id, referenced_tweets</t>
  </si>
  <si>
    <t>SM003</t>
  </si>
  <si>
    <t>Mention</t>
  </si>
  <si>
    <t>@CommBank I received a message saying my card is locked. Is this real? The link looks strange.</t>
  </si>
  <si>
    <t>Negative</t>
  </si>
  <si>
    <t>Scam report</t>
  </si>
  <si>
    <t>text, entities.mentions, author_id</t>
  </si>
  <si>
    <t>SM004</t>
  </si>
  <si>
    <t>New budget habit: split your weekly spend into essentials, savings and fun money before the weekend starts.</t>
  </si>
  <si>
    <t>Financial wellbeing</t>
  </si>
  <si>
    <t>#MoneyTips #Budgeting</t>
  </si>
  <si>
    <t>text, created_at, public_metrics, media_keys</t>
  </si>
  <si>
    <t>SM005</t>
  </si>
  <si>
    <t>501-5k</t>
  </si>
  <si>
    <t>This is actually useful. Would love a template for tracking weekly spending categories.</t>
  </si>
  <si>
    <t>Feature feedback</t>
  </si>
  <si>
    <t>text, referenced_tweets, public_metrics</t>
  </si>
  <si>
    <t>SM006</t>
  </si>
  <si>
    <t>@CommBank app keeps timing out this morning. I need to pay rent before work.</t>
  </si>
  <si>
    <t>Digital banking</t>
  </si>
  <si>
    <t>Complaint</t>
  </si>
  <si>
    <t>text, entities.mentions, created_at</t>
  </si>
  <si>
    <t>SM007</t>
  </si>
  <si>
    <t>Sorry for the trouble. Please try closing and reopening the app. If the issue continues, send us a private message so we can help.</t>
  </si>
  <si>
    <t>Customer support</t>
  </si>
  <si>
    <t>text, referenced_tweets, conversation_id</t>
  </si>
  <si>
    <t>SM008</t>
  </si>
  <si>
    <t>Planning a home renovation? Compare quotes, keep a buffer for surprises and avoid transferring deposits until you verify the business.</t>
  </si>
  <si>
    <t>Link</t>
  </si>
  <si>
    <t>#HomeBudget #MoneySafety</t>
  </si>
  <si>
    <t>text, entities.urls, public_metrics</t>
  </si>
  <si>
    <t>SM009</t>
  </si>
  <si>
    <t>Business customer</t>
  </si>
  <si>
    <t>Our small business card payment issue was sorted quickly today. Appreciate the support team calling back.</t>
  </si>
  <si>
    <t>Business banking</t>
  </si>
  <si>
    <t>text, author_id, public_metrics</t>
  </si>
  <si>
    <t>SM010</t>
  </si>
  <si>
    <t>Scheduled maintenance: some card controls and notifications may be unavailable from 1:00am to 3:00am AEST on Sunday.</t>
  </si>
  <si>
    <t>Outage/service issue</t>
  </si>
  <si>
    <t>#ServiceUpdate</t>
  </si>
  <si>
    <t>News/update</t>
  </si>
  <si>
    <t>text, created_at, public_metrics</t>
  </si>
  <si>
    <t>SM011</t>
  </si>
  <si>
    <t>Thanks for giving the timing clearly. Much better than finding out during checkout.</t>
  </si>
  <si>
    <t>text, referenced_tweets</t>
  </si>
  <si>
    <t>SM012</t>
  </si>
  <si>
    <t>My transfer has been pending for hours and I can't find a clear status page. Is there an outage?</t>
  </si>
  <si>
    <t>Question</t>
  </si>
  <si>
    <t>SM013</t>
  </si>
  <si>
    <t>Three signs a message may be a scam: urgency, unusual links and requests for codes. Pause before you respond.</t>
  </si>
  <si>
    <t>Security education</t>
  </si>
  <si>
    <t>Text + video</t>
  </si>
  <si>
    <t>#CyberSafety #ScamAwareness</t>
  </si>
  <si>
    <t>text, attachments.media_keys, entities.hashtags</t>
  </si>
  <si>
    <t>SM014</t>
  </si>
  <si>
    <t>Quote post</t>
  </si>
  <si>
    <t>Scam awareness org</t>
  </si>
  <si>
    <t>5k-50k</t>
  </si>
  <si>
    <t>Good practical reminder from @CommBank. The 'urgent action required' wording is still one of the biggest red flags.</t>
  </si>
  <si>
    <t>#ScamAwareness</t>
  </si>
  <si>
    <t>text, referenced_tweets, entities.mentions</t>
  </si>
  <si>
    <t>SM015</t>
  </si>
  <si>
    <t>We are supporting local community groups with grants focused on financial confidence and digital skills.</t>
  </si>
  <si>
    <t>Community</t>
  </si>
  <si>
    <t>#Community #FinancialConfidence</t>
  </si>
  <si>
    <t>Campaign</t>
  </si>
  <si>
    <t>text, entities.hashtags, public_metrics</t>
  </si>
  <si>
    <t>SM016</t>
  </si>
  <si>
    <t>Community org</t>
  </si>
  <si>
    <t>Proud to be part of this program. The digital skills sessions have already helped our clients feel safer online.</t>
  </si>
  <si>
    <t>SM017</t>
  </si>
  <si>
    <t>Branch wait times are rough lately. I just need a replacement card and couldn't get through on chat.</t>
  </si>
  <si>
    <t>Branch/ATM</t>
  </si>
  <si>
    <t>text, entities.mentions</t>
  </si>
  <si>
    <t>SM018</t>
  </si>
  <si>
    <t>Travel tip: tell us before you go overseas and check card controls in the app before your first purchase.</t>
  </si>
  <si>
    <t>Card services</t>
  </si>
  <si>
    <t>#TravelMoney</t>
  </si>
  <si>
    <t>SM019</t>
  </si>
  <si>
    <t>Can I still use Apple Pay if my physical card is blocked while travelling?</t>
  </si>
  <si>
    <t>SM020</t>
  </si>
  <si>
    <t>Small business owners: join our free webinar on cash flow planning and preparing for quieter trading periods.</t>
  </si>
  <si>
    <t>#SmallBusiness #CashFlow</t>
  </si>
  <si>
    <t>SM021</t>
  </si>
  <si>
    <t>Would love more examples for seasonal businesses in the cash flow webinar. Retail is not the same as consulting.</t>
  </si>
  <si>
    <t>#SmallBusiness</t>
  </si>
  <si>
    <t>Mixed</t>
  </si>
  <si>
    <t>text, entities.hashtags, entities.mentions</t>
  </si>
  <si>
    <t>SM022</t>
  </si>
  <si>
    <t>We have added clearer transaction labels in the app to help you recognise subscriptions and recurring payments.</t>
  </si>
  <si>
    <t>#CommBankApp</t>
  </si>
  <si>
    <t>Product update</t>
  </si>
  <si>
    <t>text, public_metrics, attachments.media_keys</t>
  </si>
  <si>
    <t>SM023</t>
  </si>
  <si>
    <t>Finally! I have been trying to work out what one of my monthly charges was for ages.</t>
  </si>
  <si>
    <t>SM024</t>
  </si>
  <si>
    <t>Please add a way to rename merchants manually too. Some labels are still confusing.</t>
  </si>
  <si>
    <t>SM025</t>
  </si>
  <si>
    <t>ATM near my station has been out of service twice this week. Any update?</t>
  </si>
  <si>
    <t>SM026</t>
  </si>
  <si>
    <t>Start the month by checking subscriptions you no longer use. Small recurring payments can add up quickly.</t>
  </si>
  <si>
    <t>#MoneyTips</t>
  </si>
  <si>
    <t>SM027</t>
  </si>
  <si>
    <t>The new transaction labels are helpful, but my rent payment is now showing as entertainment, which is... optimistic.</t>
  </si>
  <si>
    <t>SM028</t>
  </si>
  <si>
    <t>If you are buying online, use secure payment options and be cautious of sellers asking to move the conversation off-platform.</t>
  </si>
  <si>
    <t>#OnlineSafety #ScamAwareness</t>
  </si>
  <si>
    <t>SM029</t>
  </si>
  <si>
    <t>This happened to me on a marketplace sale. A checklist would be really helpful.</t>
  </si>
  <si>
    <t>SM030</t>
  </si>
  <si>
    <t>Locked out of NetBank after changing phones. The recovery steps are not clear.</t>
  </si>
  <si>
    <t>SM031</t>
  </si>
  <si>
    <t>Today we are sharing practical tips for protecting older family members from impersonation scams.</t>
  </si>
  <si>
    <t>#ScamAwareness #FamilySafety</t>
  </si>
  <si>
    <t>SM032</t>
  </si>
  <si>
    <t>News/media</t>
  </si>
  <si>
    <t>Useful consumer safety advice from @CommBank as impersonation scams continue to target older Australians.</t>
  </si>
  <si>
    <t>SM033</t>
  </si>
  <si>
    <t>We are trialling new in-app prompts that ask customers to pause before sending money to a first-time payee.</t>
  </si>
  <si>
    <t>#CyberSafety</t>
  </si>
  <si>
    <t>SM034</t>
  </si>
  <si>
    <t>Good idea, but please make sure it does not slow down urgent transfers to family.</t>
  </si>
  <si>
    <t>SM035</t>
  </si>
  <si>
    <t>Is PayID down? Two people have tried to pay me and both transfers are stuck.</t>
  </si>
  <si>
    <t>#PayID</t>
  </si>
  <si>
    <t>SM036</t>
  </si>
  <si>
    <t>We are aware some customers are seeing delays with PayID transfers and our teams are investigating. We will share updates as soon as possible.</t>
  </si>
  <si>
    <t>text, conversation_id, public_metrics</t>
  </si>
  <si>
    <t>SM037</t>
  </si>
  <si>
    <t>Know the difference between available balance and current balance before making a large purchase.</t>
  </si>
  <si>
    <t>#MoneyTips #BankingBasics</t>
  </si>
  <si>
    <t>SM038</t>
  </si>
  <si>
    <t>Just used the spend tracker for the first time and it was a wake-up call, in a good way.</t>
  </si>
  <si>
    <t>SM039</t>
  </si>
  <si>
    <t>Card controls can help if your card is misplaced. Temporarily lock, unlock or replace your card in the app.</t>
  </si>
  <si>
    <t>text, attachments.media_keys, public_metrics</t>
  </si>
  <si>
    <t>SM040</t>
  </si>
  <si>
    <t>This saved me last month. Found the card under my car seat after locking it in the app.</t>
  </si>
  <si>
    <t>SM041</t>
  </si>
  <si>
    <t>We are investing in energy efficiency upgrades across selected branches to reduce operational emissions.</t>
  </si>
  <si>
    <t>Sustainability</t>
  </si>
  <si>
    <t>#Sustainability</t>
  </si>
  <si>
    <t>SM042</t>
  </si>
  <si>
    <t>Good, but customers also want greener lending options and clearer reporting.</t>
  </si>
  <si>
    <t>SM043</t>
  </si>
  <si>
    <t>The ATM locator sent me to a branch that has moved. Please update the map.</t>
  </si>
  <si>
    <t>SM044</t>
  </si>
  <si>
    <t>Before tax time, check that your bank statements and interest summaries are easy to access in NetBank.</t>
  </si>
  <si>
    <t>#TaxTime #NetBank</t>
  </si>
  <si>
    <t>SM045</t>
  </si>
  <si>
    <t>Trying to download statements and the page keeps refreshing. Anyone else?</t>
  </si>
  <si>
    <t>#NetBank</t>
  </si>
  <si>
    <t>SM046</t>
  </si>
  <si>
    <t>Thinking about your first credit card? Compare fees, interest rates and repayment habits before applying.</t>
  </si>
  <si>
    <t>#BankingBasics #MoneyTips</t>
  </si>
  <si>
    <t>SM047</t>
  </si>
  <si>
    <t>Can you make an explainer for students who are new to credit? The language is still intimidating.</t>
  </si>
  <si>
    <t>SM048</t>
  </si>
  <si>
    <t>Reminder: genuine bank staff will not ask you to transfer money to a 'safe account'. Stop, check and report suspicious requests.</t>
  </si>
  <si>
    <t>#ScamAwareness #StopCheckReport</t>
  </si>
  <si>
    <t>SM049</t>
  </si>
  <si>
    <t>A caller used the safe account line on my mum today. She hung up because she'd seen your post.</t>
  </si>
  <si>
    <t>SM050</t>
  </si>
  <si>
    <t>We are updating the app home screen to make upcoming bills and scheduled payments easier to find.</t>
  </si>
  <si>
    <t>SM051</t>
  </si>
  <si>
    <t>Please do not move everything again. The last redesign made regular transfers harder to find.</t>
  </si>
  <si>
    <t>SM052</t>
  </si>
  <si>
    <t>Credit where due: the fraud team called quickly after I reported a suspicious transfer.</t>
  </si>
  <si>
    <t>text, entities.mentions, public_metrics</t>
  </si>
  <si>
    <t>SM053</t>
  </si>
  <si>
    <t>Winter energy bills can be unpredictable. Build a small buffer where possible and review direct debits before they are due.</t>
  </si>
  <si>
    <t>SM054</t>
  </si>
  <si>
    <t>Can the app notify me before a direct debit if my balance is low? That would prevent a lot of stress.</t>
  </si>
  <si>
    <t>SM055</t>
  </si>
  <si>
    <t>We are celebrating teams volunteering with local partners to improve financial confidence in regional communities.</t>
  </si>
  <si>
    <t>#Community #Volunteering</t>
  </si>
  <si>
    <t>SM056</t>
  </si>
  <si>
    <t>Thank you @CommBank for supporting practical financial education in our region.</t>
  </si>
  <si>
    <t>#Community</t>
  </si>
  <si>
    <t>SM057</t>
  </si>
  <si>
    <t>If a payment request arrives unexpectedly, call the person on a trusted number before sending money.</t>
  </si>
  <si>
    <t>#CyberSafety #StopCheckReport</t>
  </si>
  <si>
    <t>SM058</t>
  </si>
  <si>
    <t>Why is there no clear scam reporting button in the app? I had to search around for it.</t>
  </si>
  <si>
    <t>SM059</t>
  </si>
  <si>
    <t>Our app update includes accessibility improvements for screen readers and clearer error messages.</t>
  </si>
  <si>
    <t>#CommBankApp #Accessibility</t>
  </si>
  <si>
    <t>SM060</t>
  </si>
  <si>
    <t>The clearer error messages help. Please make the font size easier to adjust too.</t>
  </si>
  <si>
    <t>Column</t>
  </si>
  <si>
    <t>Description</t>
  </si>
  <si>
    <t>Student use</t>
  </si>
  <si>
    <t>X/Twitter API or analytics concept</t>
  </si>
  <si>
    <t>Unique identifier for each simulated social media item.</t>
  </si>
  <si>
    <t>Reference individual posts when discussing findings.</t>
  </si>
  <si>
    <t>id</t>
  </si>
  <si>
    <t>Date and time the post was published.</t>
  </si>
  <si>
    <t>Analyze timing, trends, and day-of-week patterns.</t>
  </si>
  <si>
    <t>created_at</t>
  </si>
  <si>
    <t>Whether the row is a brand post, customer reply, mention, or quote post.</t>
  </si>
  <si>
    <t>Compare original posts with customer interactions.</t>
  </si>
  <si>
    <t>referenced_tweets, conversation_id</t>
  </si>
  <si>
    <t>Simplified category of the account that created the post.</t>
  </si>
  <si>
    <t>Explore who is engaging with the brand.</t>
  </si>
  <si>
    <t>author_id with user profile enrichment</t>
  </si>
  <si>
    <t>Approximate audience-size bucket for the author.</t>
  </si>
  <si>
    <t>Compare engagement from smaller vs. larger accounts.</t>
  </si>
  <si>
    <t>public_metrics.followers_count</t>
  </si>
  <si>
    <t>Simulated text content of the social media post.</t>
  </si>
  <si>
    <t>Perform topic, keyword, and sentiment analysis.</t>
  </si>
  <si>
    <t>text</t>
  </si>
  <si>
    <t>Curated topic label for the post.</t>
  </si>
  <si>
    <t>Group posts into themes such as fraud, app issues, or financial wellbeing.</t>
  </si>
  <si>
    <t>Derived classification from text/entities</t>
  </si>
  <si>
    <t>Simplified format of the post: text, image, video, link, etc.</t>
  </si>
  <si>
    <t>Compare engagement by format.</t>
  </si>
  <si>
    <t>attachments, media_keys, entities.urls</t>
  </si>
  <si>
    <t>Hashtags included in the simulated post.</t>
  </si>
  <si>
    <t>Identify recurring campaign or topic markers.</t>
  </si>
  <si>
    <t>entities.hashtags</t>
  </si>
  <si>
    <t>Whether the post mentions Commonwealth Bank.</t>
  </si>
  <si>
    <t>Separate brand-originated posts from customer mentions.</t>
  </si>
  <si>
    <t>entities.mentions</t>
  </si>
  <si>
    <t>Curated sentiment category.</t>
  </si>
  <si>
    <t>Summarize positive, negative, neutral, and mixed responses.</t>
  </si>
  <si>
    <t>Derived NLP output</t>
  </si>
  <si>
    <t>Numeric sentiment score from -1 to +1.</t>
  </si>
  <si>
    <t>Calculate average sentiment by topic or post type.</t>
  </si>
  <si>
    <t>Simulated like count.</t>
  </si>
  <si>
    <t>Measure visible approval or interest.</t>
  </si>
  <si>
    <t>public_metrics.like_count</t>
  </si>
  <si>
    <t>Simulated reply count.</t>
  </si>
  <si>
    <t>Measure conversation volume and support needs.</t>
  </si>
  <si>
    <t>public_metrics.reply_count</t>
  </si>
  <si>
    <t>Simulated repost/share count.</t>
  </si>
  <si>
    <t>Measure amplification.</t>
  </si>
  <si>
    <t>public_metrics.retweet_count/repost_count</t>
  </si>
  <si>
    <t>Simulated quote post count.</t>
  </si>
  <si>
    <t>Measure public commentary beyond direct replies.</t>
  </si>
  <si>
    <t>public_metrics.quote_count</t>
  </si>
  <si>
    <t>Simulated view/impression count.</t>
  </si>
  <si>
    <t>Find high-reach posts and high-view/low-engagement posts.</t>
  </si>
  <si>
    <t>impression_count or analytics field</t>
  </si>
  <si>
    <t>Simulated click count for links or calls to action. This may require internal analytics access.</t>
  </si>
  <si>
    <t>Evaluate whether posts drive action beyond public engagement.</t>
  </si>
  <si>
    <t>URL analytics/owned social reporting; not always public API</t>
  </si>
  <si>
    <t>Formula that adds likes, replies, reposts, quote posts, and link clicks.</t>
  </si>
  <si>
    <t>Sort by highest engagement.</t>
  </si>
  <si>
    <t>Derived metric</t>
  </si>
  <si>
    <t>Formula: total engagements divided by views.</t>
  </si>
  <si>
    <t>Compare performance while accounting for reach.</t>
  </si>
  <si>
    <t>Formula derived from post_datetime.</t>
  </si>
  <si>
    <t>Explore timing patterns.</t>
  </si>
  <si>
    <t>Derived from created_at</t>
  </si>
  <si>
    <t>Curated reason for the post, such as complaint, question, praise, or feature feedback.</t>
  </si>
  <si>
    <t>Identify support needs and insight opportunities.</t>
  </si>
  <si>
    <t>Derived classification</t>
  </si>
  <si>
    <t>Whether the row appears to need a customer support response.</t>
  </si>
  <si>
    <t>Prioritize issues that need action.</t>
  </si>
  <si>
    <t>Derived business rule</t>
  </si>
  <si>
    <t>Examples of API fields or concepts that could produce similar information.</t>
  </si>
  <si>
    <t>Connect the dataset back to API documentation.</t>
  </si>
  <si>
    <t>Documentation mapping</t>
  </si>
  <si>
    <t>Analysis area</t>
  </si>
  <si>
    <t>Question learners can answer with the dataset</t>
  </si>
  <si>
    <t>Relevant columns</t>
  </si>
  <si>
    <t>Topic analysis</t>
  </si>
  <si>
    <t>Which topics appear most often, and what do those topics suggest customers care about?</t>
  </si>
  <si>
    <t>topic, post_text, hashtags</t>
  </si>
  <si>
    <t>Engagement analysis</t>
  </si>
  <si>
    <t>Which posts generate the most total engagement? Do the highest-view posts also receive the highest engagement?</t>
  </si>
  <si>
    <t>likes, replies, reposts, quote_posts, views, link_clicks, total_engagements, engagement_rate</t>
  </si>
  <si>
    <t>Sentiment analysis</t>
  </si>
  <si>
    <t>Which topics have the most positive, negative, neutral, or mixed sentiment?</t>
  </si>
  <si>
    <t>topic, sentiment_label, sentiment_score</t>
  </si>
  <si>
    <t>Which posts likely require a response from CommBank, and what themes do they share?</t>
  </si>
  <si>
    <t>post_type, customer_intent, response_needed, topic, post_text</t>
  </si>
  <si>
    <t>Trend analysis</t>
  </si>
  <si>
    <t>Do certain topics or sentiment patterns appear more often on specific dates or days of the week?</t>
  </si>
  <si>
    <t>post_datetime, day_of_week, topic, sentiment_label</t>
  </si>
  <si>
    <t>Marketing insight</t>
  </si>
  <si>
    <t>Which formats or campaign themes appear to resonate most with audiences?</t>
  </si>
  <si>
    <t>content_format, hashtags, topic, engagement_rate</t>
  </si>
  <si>
    <t>Product insight</t>
  </si>
  <si>
    <t>What app, NetBank, card, or service improvements are customers requesting?</t>
  </si>
  <si>
    <t>topic, customer_intent, post_text</t>
  </si>
  <si>
    <t>Risk insight</t>
  </si>
  <si>
    <t>What scam or security concerns are most visible in the data?</t>
  </si>
  <si>
    <t>topic, customer_intent, sentiment_label, post_text</t>
  </si>
  <si>
    <t>Resource</t>
  </si>
  <si>
    <t>Use in task</t>
  </si>
  <si>
    <t>URL</t>
  </si>
  <si>
    <t>X API documentation</t>
  </si>
  <si>
    <t>Understand available fields and API concepts that can map to this dataset.</t>
  </si>
  <si>
    <t>http://docs.x.com/overview</t>
  </si>
  <si>
    <t>X API Getting Started PDF</t>
  </si>
  <si>
    <t>Reference for introductory API concepts.</t>
  </si>
  <si>
    <t>https://cdn.theforage.com/vinternships/companyassets/2sNmYuurxgpFYawco/y2NzZJASdgERdYR4S/1675682056660/getting_started.pdf</t>
  </si>
  <si>
    <t>Social media sentiment analysis</t>
  </si>
  <si>
    <t>Background reading for classifying positive, negative, neutral, and mixed social media text.</t>
  </si>
  <si>
    <t>Add program-approved URL here</t>
  </si>
  <si>
    <t>Row Labels</t>
  </si>
  <si>
    <t>Grand Total</t>
  </si>
  <si>
    <t>Count of post_id</t>
  </si>
  <si>
    <t>Sum of total_engagements</t>
  </si>
  <si>
    <t>Column Labels</t>
  </si>
  <si>
    <t>Average of engagement_rate</t>
  </si>
  <si>
    <t>Sunday</t>
  </si>
  <si>
    <t>Monday</t>
  </si>
  <si>
    <t>Tuesday</t>
  </si>
  <si>
    <t>Wednesday</t>
  </si>
  <si>
    <t>Thursday</t>
  </si>
  <si>
    <t>Friday</t>
  </si>
  <si>
    <t>Saturday</t>
  </si>
  <si>
    <t>Table 2: Total Engagement Volume by Topic</t>
  </si>
  <si>
    <t>Table 3: High-Priority Customer Support Issues</t>
  </si>
  <si>
    <t>Table 4: Engagement Rate by Content Format</t>
  </si>
  <si>
    <t>Table 5: Sentiment Breakdown Across Days</t>
  </si>
  <si>
    <t>Table 1: Volume Distribution Across Topics</t>
  </si>
  <si>
    <t>Topic</t>
  </si>
  <si>
    <t>Content Format</t>
  </si>
  <si>
    <t>Day of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</si>
</sst>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5">
    <font>
      <sz val="11"/>
      <name val="Carlito"/>
    </font>
    <font>
      <b/>
      <sz val="18"/>
      <color rgb="FFFFFFFF"/>
      <name val="Carlito"/>
    </font>
    <font>
      <b/>
      <sz val="11"/>
      <color rgb="FF1F4E78"/>
      <name val="Carlito"/>
    </font>
    <font>
      <b/>
      <sz val="11"/>
      <color rgb="FFFFFFFF"/>
      <name val="Carlito"/>
    </font>
    <font>
      <b/>
      <sz val="11"/>
      <name val="Carlito"/>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15">
    <xf numFmtId="0" fontId="0" fillId="0" borderId="0" xfId="0"/>
    <xf numFmtId="0" fontId="1" fillId="2" borderId="0" xfId="0" applyNumberFormat="1" applyFont="1" applyFill="1" applyBorder="1" applyAlignment="1">
      <alignment horizontal="left" vertical="center"/>
    </xf>
    <xf numFmtId="0" fontId="2" fillId="3" borderId="0" xfId="0" applyNumberFormat="1" applyFont="1" applyFill="1" applyBorder="1"/>
    <xf numFmtId="0" fontId="0" fillId="0" borderId="0" xfId="0" applyNumberFormat="1" applyFont="1" applyFill="1" applyBorder="1" applyAlignment="1">
      <alignment wrapText="1"/>
    </xf>
    <xf numFmtId="0" fontId="2" fillId="3" borderId="0" xfId="0" applyNumberFormat="1" applyFont="1" applyFill="1" applyBorder="1" applyAlignment="1">
      <alignment wrapText="1"/>
    </xf>
    <xf numFmtId="0" fontId="3" fillId="2" borderId="0" xfId="0" applyNumberFormat="1" applyFont="1" applyFill="1" applyBorder="1" applyAlignment="1">
      <alignment horizontal="center" vertical="center" wrapText="1"/>
    </xf>
    <xf numFmtId="164" fontId="0" fillId="0" borderId="0" xfId="0" applyNumberFormat="1" applyFont="1" applyFill="1" applyBorder="1" applyAlignment="1">
      <alignment wrapText="1"/>
    </xf>
    <xf numFmtId="2" fontId="0" fillId="0" borderId="0" xfId="0" applyNumberFormat="1" applyFont="1" applyFill="1" applyBorder="1" applyAlignment="1">
      <alignment wrapText="1"/>
    </xf>
    <xf numFmtId="3" fontId="0" fillId="0" borderId="0" xfId="0" applyNumberFormat="1" applyFont="1" applyFill="1" applyBorder="1" applyAlignment="1">
      <alignment wrapText="1"/>
    </xf>
    <xf numFmtId="10" fontId="0" fillId="0" borderId="0" xfId="0" applyNumberFormat="1" applyFont="1" applyFill="1" applyBorder="1" applyAlignment="1">
      <alignment wrapText="1"/>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4" fillId="0" borderId="0" xfId="0" applyFont="1" applyAlignment="1">
      <alignment horizontal="center"/>
    </xf>
  </cellXfs>
  <cellStyles count="1">
    <cellStyle name="Normal" xfId="0" builtinId="0"/>
  </cellStyles>
  <dxfs count="1">
    <dxf>
      <fill>
        <patternFill patternType="solid">
          <bgColor rgb="FFFDE68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tej singh" refreshedDate="46283.432143981481" createdVersion="7" refreshedVersion="7" minRefreshableVersion="3" recordCount="60" xr:uid="{A983E04A-B5EA-4F22-B1E2-07DBBC91442D}">
  <cacheSource type="worksheet">
    <worksheetSource name="SocialMediaPosts"/>
  </cacheSource>
  <cacheFields count="24">
    <cacheField name="post_id" numFmtId="0">
      <sharedItems count="60">
        <s v="SM001"/>
        <s v="SM002"/>
        <s v="SM003"/>
        <s v="SM004"/>
        <s v="SM005"/>
        <s v="SM006"/>
        <s v="SM007"/>
        <s v="SM008"/>
        <s v="SM009"/>
        <s v="SM010"/>
        <s v="SM011"/>
        <s v="SM012"/>
        <s v="SM013"/>
        <s v="SM014"/>
        <s v="SM015"/>
        <s v="SM016"/>
        <s v="SM017"/>
        <s v="SM018"/>
        <s v="SM019"/>
        <s v="SM020"/>
        <s v="SM021"/>
        <s v="SM022"/>
        <s v="SM023"/>
        <s v="SM024"/>
        <s v="SM025"/>
        <s v="SM026"/>
        <s v="SM027"/>
        <s v="SM028"/>
        <s v="SM029"/>
        <s v="SM030"/>
        <s v="SM031"/>
        <s v="SM032"/>
        <s v="SM033"/>
        <s v="SM034"/>
        <s v="SM035"/>
        <s v="SM036"/>
        <s v="SM037"/>
        <s v="SM038"/>
        <s v="SM039"/>
        <s v="SM040"/>
        <s v="SM041"/>
        <s v="SM042"/>
        <s v="SM043"/>
        <s v="SM044"/>
        <s v="SM045"/>
        <s v="SM046"/>
        <s v="SM047"/>
        <s v="SM048"/>
        <s v="SM049"/>
        <s v="SM050"/>
        <s v="SM051"/>
        <s v="SM052"/>
        <s v="SM053"/>
        <s v="SM054"/>
        <s v="SM055"/>
        <s v="SM056"/>
        <s v="SM057"/>
        <s v="SM058"/>
        <s v="SM059"/>
        <s v="SM060"/>
      </sharedItems>
    </cacheField>
    <cacheField name="post_datetime" numFmtId="164">
      <sharedItems containsSemiMixedTypes="0" containsNonDate="0" containsDate="1" containsString="0" minDate="2026-04-15T09:05:00" maxDate="2026-06-12T12:06:00"/>
    </cacheField>
    <cacheField name="post_type" numFmtId="0">
      <sharedItems/>
    </cacheField>
    <cacheField name="author_type" numFmtId="0">
      <sharedItems/>
    </cacheField>
    <cacheField name="author_follower_bucket" numFmtId="0">
      <sharedItems/>
    </cacheField>
    <cacheField name="post_text" numFmtId="0">
      <sharedItems/>
    </cacheField>
    <cacheField name="topic" numFmtId="0">
      <sharedItems count="11">
        <s v="Fraud &amp; scams"/>
        <s v="Financial wellbeing"/>
        <s v="Digital banking"/>
        <s v="Customer support"/>
        <s v="Business banking"/>
        <s v="Outage/service issue"/>
        <s v="Security education"/>
        <s v="Community"/>
        <s v="Branch/ATM"/>
        <s v="Card services"/>
        <s v="Sustainability"/>
      </sharedItems>
    </cacheField>
    <cacheField name="content_format" numFmtId="0">
      <sharedItems count="4">
        <s v="Text + image"/>
        <s v="Text"/>
        <s v="Link"/>
        <s v="Text + video"/>
      </sharedItems>
    </cacheField>
    <cacheField name="hashtags" numFmtId="0">
      <sharedItems containsBlank="1"/>
    </cacheField>
    <cacheField name="mentions_commbank" numFmtId="0">
      <sharedItems/>
    </cacheField>
    <cacheField name="sentiment_label" numFmtId="0">
      <sharedItems count="4">
        <s v="Neutral"/>
        <s v="Positive"/>
        <s v="Negative"/>
        <s v="Mixed"/>
      </sharedItems>
    </cacheField>
    <cacheField name="sentiment_score" numFmtId="2">
      <sharedItems containsSemiMixedTypes="0" containsString="0" containsNumber="1" minValue="-0.82" maxValue="0.88"/>
    </cacheField>
    <cacheField name="likes" numFmtId="3">
      <sharedItems containsSemiMixedTypes="0" containsString="0" containsNumber="1" containsInteger="1" minValue="6" maxValue="1280"/>
    </cacheField>
    <cacheField name="replies" numFmtId="3">
      <sharedItems containsSemiMixedTypes="0" containsString="0" containsNumber="1" containsInteger="1" minValue="1" maxValue="156"/>
    </cacheField>
    <cacheField name="reposts" numFmtId="3">
      <sharedItems containsSemiMixedTypes="0" containsString="0" containsNumber="1" containsInteger="1" minValue="0" maxValue="520"/>
    </cacheField>
    <cacheField name="quote_posts" numFmtId="3">
      <sharedItems containsSemiMixedTypes="0" containsString="0" containsNumber="1" containsInteger="1" minValue="0" maxValue="47"/>
    </cacheField>
    <cacheField name="views" numFmtId="3">
      <sharedItems containsSemiMixedTypes="0" containsString="0" containsNumber="1" containsInteger="1" minValue="780" maxValue="210000"/>
    </cacheField>
    <cacheField name="link_clicks" numFmtId="3">
      <sharedItems containsSemiMixedTypes="0" containsString="0" containsNumber="1" containsInteger="1" minValue="0" maxValue="10200"/>
    </cacheField>
    <cacheField name="total_engagements" numFmtId="3">
      <sharedItems containsSemiMixedTypes="0" containsString="0" containsNumber="1" containsInteger="1" minValue="14" maxValue="12165"/>
    </cacheField>
    <cacheField name="engagement_rate" numFmtId="10">
      <sharedItems containsSemiMixedTypes="0" containsString="0" containsNumber="1" minValue="8.0952380952380946E-3" maxValue="7.0095011876484564E-2"/>
    </cacheField>
    <cacheField name="day_of_week" numFmtId="0">
      <sharedItems count="7">
        <s v="Wednesday"/>
        <s v="Thursday"/>
        <s v="Friday"/>
        <s v="Saturday"/>
        <s v="Sunday"/>
        <s v="Monday"/>
        <s v="Tuesday"/>
      </sharedItems>
    </cacheField>
    <cacheField name="customer_intent" numFmtId="0">
      <sharedItems/>
    </cacheField>
    <cacheField name="response_needed" numFmtId="0">
      <sharedItems count="2">
        <s v="No"/>
        <s v="Yes"/>
      </sharedItems>
    </cacheField>
    <cacheField name="api_field_exampl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d v="2026-04-15T09:05:00"/>
    <s v="Original post"/>
    <s v="CommBank"/>
    <s v="50k+"/>
    <s v="Scam alert: We will never ask for your NetBank password or one-time code by text message. If a message feels suspicious, stop and check before clicking."/>
    <x v="0"/>
    <x v="0"/>
    <s v="#ScamAwareness #CyberSafety"/>
    <s v="No"/>
    <x v="0"/>
    <n v="0.1"/>
    <n v="842"/>
    <n v="96"/>
    <n v="310"/>
    <n v="28"/>
    <n v="118000"/>
    <n v="4200"/>
    <n v="5476"/>
    <n v="4.6406779661016952E-2"/>
    <x v="0"/>
    <s v="Educational content"/>
    <x v="0"/>
    <s v="text, created_at, public_metrics, entities.hashtags"/>
  </r>
  <r>
    <x v="1"/>
    <d v="2026-04-15T09:42:00"/>
    <s v="Reply"/>
    <s v="Customer"/>
    <s v="0-500"/>
    <s v="Thanks for the reminder. Nearly clicked on a fake delivery text yesterday and this made me double-check."/>
    <x v="0"/>
    <x v="1"/>
    <m/>
    <s v="Yes"/>
    <x v="1"/>
    <n v="0.7"/>
    <n v="18"/>
    <n v="3"/>
    <n v="1"/>
    <n v="0"/>
    <n v="920"/>
    <n v="0"/>
    <n v="22"/>
    <n v="2.391304347826087E-2"/>
    <x v="0"/>
    <s v="Praise"/>
    <x v="0"/>
    <s v="text, in_reply_to_user_id, referenced_tweets"/>
  </r>
  <r>
    <x v="2"/>
    <d v="2026-04-15T10:17:00"/>
    <s v="Mention"/>
    <s v="Customer"/>
    <s v="0-500"/>
    <s v="@CommBank I received a message saying my card is locked. Is this real? The link looks strange."/>
    <x v="0"/>
    <x v="1"/>
    <m/>
    <s v="Yes"/>
    <x v="2"/>
    <n v="-0.35"/>
    <n v="6"/>
    <n v="9"/>
    <n v="0"/>
    <n v="0"/>
    <n v="780"/>
    <n v="0"/>
    <n v="15"/>
    <n v="1.9230769230769232E-2"/>
    <x v="0"/>
    <s v="Scam report"/>
    <x v="1"/>
    <s v="text, entities.mentions, author_id"/>
  </r>
  <r>
    <x v="3"/>
    <d v="2026-04-16T12:30:00"/>
    <s v="Original post"/>
    <s v="CommBank"/>
    <s v="50k+"/>
    <s v="New budget habit: split your weekly spend into essentials, savings and fun money before the weekend starts."/>
    <x v="1"/>
    <x v="0"/>
    <s v="#MoneyTips #Budgeting"/>
    <s v="No"/>
    <x v="1"/>
    <n v="0.57999999999999996"/>
    <n v="620"/>
    <n v="42"/>
    <n v="128"/>
    <n v="12"/>
    <n v="84200"/>
    <n v="5100"/>
    <n v="5902"/>
    <n v="7.0095011876484564E-2"/>
    <x v="1"/>
    <s v="Educational content"/>
    <x v="0"/>
    <s v="text, created_at, public_metrics, media_keys"/>
  </r>
  <r>
    <x v="4"/>
    <d v="2026-04-16T13:04:00"/>
    <s v="Reply"/>
    <s v="Customer"/>
    <s v="501-5k"/>
    <s v="This is actually useful. Would love a template for tracking weekly spending categories."/>
    <x v="1"/>
    <x v="1"/>
    <m/>
    <s v="Yes"/>
    <x v="1"/>
    <n v="0.62"/>
    <n v="25"/>
    <n v="2"/>
    <n v="4"/>
    <n v="0"/>
    <n v="1300"/>
    <n v="0"/>
    <n v="31"/>
    <n v="2.3846153846153847E-2"/>
    <x v="1"/>
    <s v="Feature feedback"/>
    <x v="0"/>
    <s v="text, referenced_tweets, public_metrics"/>
  </r>
  <r>
    <x v="5"/>
    <d v="2026-04-17T08:50:00"/>
    <s v="Mention"/>
    <s v="Customer"/>
    <s v="0-500"/>
    <s v="@CommBank app keeps timing out this morning. I need to pay rent before work."/>
    <x v="2"/>
    <x v="1"/>
    <m/>
    <s v="Yes"/>
    <x v="2"/>
    <n v="-0.82"/>
    <n v="41"/>
    <n v="18"/>
    <n v="7"/>
    <n v="1"/>
    <n v="4500"/>
    <n v="0"/>
    <n v="67"/>
    <n v="1.4888888888888889E-2"/>
    <x v="2"/>
    <s v="Complaint"/>
    <x v="1"/>
    <s v="text, entities.mentions, created_at"/>
  </r>
  <r>
    <x v="6"/>
    <d v="2026-04-17T09:15:00"/>
    <s v="Reply"/>
    <s v="CommBank"/>
    <s v="50k+"/>
    <s v="Sorry for the trouble. Please try closing and reopening the app. If the issue continues, send us a private message so we can help."/>
    <x v="3"/>
    <x v="1"/>
    <m/>
    <s v="Yes"/>
    <x v="0"/>
    <n v="0.05"/>
    <n v="12"/>
    <n v="5"/>
    <n v="0"/>
    <n v="0"/>
    <n v="2100"/>
    <n v="0"/>
    <n v="17"/>
    <n v="8.0952380952380946E-3"/>
    <x v="2"/>
    <s v="Customer support"/>
    <x v="0"/>
    <s v="text, referenced_tweets, conversation_id"/>
  </r>
  <r>
    <x v="7"/>
    <d v="2026-04-18T17:45:00"/>
    <s v="Original post"/>
    <s v="CommBank"/>
    <s v="50k+"/>
    <s v="Planning a home renovation? Compare quotes, keep a buffer for surprises and avoid transferring deposits until you verify the business."/>
    <x v="1"/>
    <x v="2"/>
    <s v="#HomeBudget #MoneySafety"/>
    <s v="No"/>
    <x v="0"/>
    <n v="0.22"/>
    <n v="208"/>
    <n v="19"/>
    <n v="42"/>
    <n v="5"/>
    <n v="61200"/>
    <n v="390"/>
    <n v="664"/>
    <n v="1.0849673202614379E-2"/>
    <x v="3"/>
    <s v="Educational content"/>
    <x v="0"/>
    <s v="text, entities.urls, public_metrics"/>
  </r>
  <r>
    <x v="8"/>
    <d v="2026-04-19T11:20:00"/>
    <s v="Mention"/>
    <s v="Business customer"/>
    <s v="501-5k"/>
    <s v="Our small business card payment issue was sorted quickly today. Appreciate the support team calling back."/>
    <x v="4"/>
    <x v="1"/>
    <m/>
    <s v="Yes"/>
    <x v="1"/>
    <n v="0.74"/>
    <n v="53"/>
    <n v="4"/>
    <n v="8"/>
    <n v="1"/>
    <n v="3900"/>
    <n v="0"/>
    <n v="66"/>
    <n v="1.6923076923076923E-2"/>
    <x v="4"/>
    <s v="Praise"/>
    <x v="0"/>
    <s v="text, author_id, public_metrics"/>
  </r>
  <r>
    <x v="9"/>
    <d v="2026-04-20T07:40:00"/>
    <s v="Original post"/>
    <s v="CommBank"/>
    <s v="50k+"/>
    <s v="Scheduled maintenance: some card controls and notifications may be unavailable from 1:00am to 3:00am AEST on Sunday."/>
    <x v="5"/>
    <x v="1"/>
    <s v="#ServiceUpdate"/>
    <s v="No"/>
    <x v="0"/>
    <n v="0"/>
    <n v="315"/>
    <n v="88"/>
    <n v="91"/>
    <n v="19"/>
    <n v="96500"/>
    <n v="800"/>
    <n v="1313"/>
    <n v="1.3606217616580311E-2"/>
    <x v="5"/>
    <s v="News/update"/>
    <x v="0"/>
    <s v="text, created_at, public_metrics"/>
  </r>
  <r>
    <x v="10"/>
    <d v="2026-04-20T08:12:00"/>
    <s v="Reply"/>
    <s v="Customer"/>
    <s v="0-500"/>
    <s v="Thanks for giving the timing clearly. Much better than finding out during checkout."/>
    <x v="5"/>
    <x v="1"/>
    <m/>
    <s v="Yes"/>
    <x v="1"/>
    <n v="0.5"/>
    <n v="14"/>
    <n v="1"/>
    <n v="2"/>
    <n v="0"/>
    <n v="840"/>
    <n v="0"/>
    <n v="17"/>
    <n v="2.0238095238095239E-2"/>
    <x v="5"/>
    <s v="Praise"/>
    <x v="0"/>
    <s v="text, referenced_tweets"/>
  </r>
  <r>
    <x v="11"/>
    <d v="2026-04-21T18:05:00"/>
    <s v="Mention"/>
    <s v="Customer"/>
    <s v="0-500"/>
    <s v="My transfer has been pending for hours and I can't find a clear status page. Is there an outage?"/>
    <x v="5"/>
    <x v="1"/>
    <m/>
    <s v="Yes"/>
    <x v="2"/>
    <n v="-0.76"/>
    <n v="33"/>
    <n v="22"/>
    <n v="4"/>
    <n v="2"/>
    <n v="5200"/>
    <n v="0"/>
    <n v="61"/>
    <n v="1.173076923076923E-2"/>
    <x v="6"/>
    <s v="Question"/>
    <x v="1"/>
    <s v="text, entities.mentions, created_at"/>
  </r>
  <r>
    <x v="12"/>
    <d v="2026-04-22T10:00:00"/>
    <s v="Original post"/>
    <s v="CommBank"/>
    <s v="50k+"/>
    <s v="Three signs a message may be a scam: urgency, unusual links and requests for codes. Pause before you respond."/>
    <x v="6"/>
    <x v="3"/>
    <s v="#CyberSafety #ScamAwareness"/>
    <s v="No"/>
    <x v="1"/>
    <n v="0.46"/>
    <n v="1100"/>
    <n v="72"/>
    <n v="405"/>
    <n v="31"/>
    <n v="156000"/>
    <n v="7400"/>
    <n v="9008"/>
    <n v="5.7743589743589743E-2"/>
    <x v="0"/>
    <s v="Educational content"/>
    <x v="0"/>
    <s v="text, attachments.media_keys, entities.hashtags"/>
  </r>
  <r>
    <x v="13"/>
    <d v="2026-04-22T10:23:00"/>
    <s v="Quote post"/>
    <s v="Scam awareness org"/>
    <s v="5k-50k"/>
    <s v="Good practical reminder from @CommBank. The 'urgent action required' wording is still one of the biggest red flags."/>
    <x v="6"/>
    <x v="1"/>
    <s v="#ScamAwareness"/>
    <s v="Yes"/>
    <x v="1"/>
    <n v="0.67"/>
    <n v="96"/>
    <n v="6"/>
    <n v="31"/>
    <n v="4"/>
    <n v="6700"/>
    <n v="0"/>
    <n v="137"/>
    <n v="2.044776119402985E-2"/>
    <x v="0"/>
    <s v="Educational content"/>
    <x v="0"/>
    <s v="text, referenced_tweets, entities.mentions"/>
  </r>
  <r>
    <x v="14"/>
    <d v="2026-04-23T14:30:00"/>
    <s v="Original post"/>
    <s v="CommBank"/>
    <s v="50k+"/>
    <s v="We are supporting local community groups with grants focused on financial confidence and digital skills."/>
    <x v="7"/>
    <x v="0"/>
    <s v="#Community #FinancialConfidence"/>
    <s v="No"/>
    <x v="1"/>
    <n v="0.63"/>
    <n v="730"/>
    <n v="51"/>
    <n v="144"/>
    <n v="11"/>
    <n v="102000"/>
    <n v="2900"/>
    <n v="3836"/>
    <n v="3.7607843137254904E-2"/>
    <x v="1"/>
    <s v="Campaign"/>
    <x v="0"/>
    <s v="text, entities.hashtags, public_metrics"/>
  </r>
  <r>
    <x v="15"/>
    <d v="2026-04-23T15:07:00"/>
    <s v="Reply"/>
    <s v="Community org"/>
    <s v="501-5k"/>
    <s v="Proud to be part of this program. The digital skills sessions have already helped our clients feel safer online."/>
    <x v="7"/>
    <x v="1"/>
    <m/>
    <s v="Yes"/>
    <x v="1"/>
    <n v="0.86"/>
    <n v="64"/>
    <n v="3"/>
    <n v="13"/>
    <n v="1"/>
    <n v="4200"/>
    <n v="0"/>
    <n v="81"/>
    <n v="1.9285714285714285E-2"/>
    <x v="1"/>
    <s v="Praise"/>
    <x v="0"/>
    <s v="text, author_id, public_metrics"/>
  </r>
  <r>
    <x v="16"/>
    <d v="2026-04-24T08:20:00"/>
    <s v="Mention"/>
    <s v="Customer"/>
    <s v="0-500"/>
    <s v="Branch wait times are rough lately. I just need a replacement card and couldn't get through on chat."/>
    <x v="8"/>
    <x v="1"/>
    <m/>
    <s v="Yes"/>
    <x v="2"/>
    <n v="-0.7"/>
    <n v="28"/>
    <n v="12"/>
    <n v="3"/>
    <n v="1"/>
    <n v="3100"/>
    <n v="0"/>
    <n v="44"/>
    <n v="1.4193548387096775E-2"/>
    <x v="2"/>
    <s v="Complaint"/>
    <x v="1"/>
    <s v="text, entities.mentions"/>
  </r>
  <r>
    <x v="17"/>
    <d v="2026-04-25T16:10:00"/>
    <s v="Original post"/>
    <s v="CommBank"/>
    <s v="50k+"/>
    <s v="Travel tip: tell us before you go overseas and check card controls in the app before your first purchase."/>
    <x v="9"/>
    <x v="2"/>
    <s v="#TravelMoney"/>
    <s v="No"/>
    <x v="0"/>
    <n v="0.24"/>
    <n v="260"/>
    <n v="34"/>
    <n v="49"/>
    <n v="7"/>
    <n v="74400"/>
    <n v="1650"/>
    <n v="2000"/>
    <n v="2.6881720430107527E-2"/>
    <x v="3"/>
    <s v="Educational content"/>
    <x v="0"/>
    <s v="text, entities.urls, public_metrics"/>
  </r>
  <r>
    <x v="18"/>
    <d v="2026-04-25T17:22:00"/>
    <s v="Reply"/>
    <s v="Customer"/>
    <s v="0-500"/>
    <s v="Can I still use Apple Pay if my physical card is blocked while travelling?"/>
    <x v="9"/>
    <x v="1"/>
    <m/>
    <s v="Yes"/>
    <x v="0"/>
    <n v="0.05"/>
    <n v="9"/>
    <n v="4"/>
    <n v="1"/>
    <n v="0"/>
    <n v="1050"/>
    <n v="0"/>
    <n v="14"/>
    <n v="1.3333333333333334E-2"/>
    <x v="3"/>
    <s v="Question"/>
    <x v="1"/>
    <s v="text, referenced_tweets"/>
  </r>
  <r>
    <x v="19"/>
    <d v="2026-04-26T09:00:00"/>
    <s v="Original post"/>
    <s v="CommBank"/>
    <s v="50k+"/>
    <s v="Small business owners: join our free webinar on cash flow planning and preparing for quieter trading periods."/>
    <x v="4"/>
    <x v="2"/>
    <s v="#SmallBusiness #CashFlow"/>
    <s v="No"/>
    <x v="1"/>
    <n v="0.48"/>
    <n v="188"/>
    <n v="17"/>
    <n v="66"/>
    <n v="3"/>
    <n v="54300"/>
    <n v="2300"/>
    <n v="2574"/>
    <n v="4.7403314917127071E-2"/>
    <x v="4"/>
    <s v="Campaign"/>
    <x v="0"/>
    <s v="text, entities.urls, public_metrics"/>
  </r>
  <r>
    <x v="20"/>
    <d v="2026-04-27T07:55:00"/>
    <s v="Mention"/>
    <s v="Business customer"/>
    <s v="501-5k"/>
    <s v="Would love more examples for seasonal businesses in the cash flow webinar. Retail is not the same as consulting."/>
    <x v="4"/>
    <x v="1"/>
    <s v="#SmallBusiness"/>
    <s v="Yes"/>
    <x v="3"/>
    <n v="0.12"/>
    <n v="22"/>
    <n v="5"/>
    <n v="4"/>
    <n v="0"/>
    <n v="1700"/>
    <n v="0"/>
    <n v="31"/>
    <n v="1.8235294117647058E-2"/>
    <x v="5"/>
    <s v="Feature feedback"/>
    <x v="0"/>
    <s v="text, entities.hashtags, entities.mentions"/>
  </r>
  <r>
    <x v="21"/>
    <d v="2026-04-28T12:15:00"/>
    <s v="Original post"/>
    <s v="CommBank"/>
    <s v="50k+"/>
    <s v="We have added clearer transaction labels in the app to help you recognise subscriptions and recurring payments."/>
    <x v="2"/>
    <x v="0"/>
    <s v="#CommBankApp"/>
    <s v="No"/>
    <x v="1"/>
    <n v="0.55000000000000004"/>
    <n v="980"/>
    <n v="104"/>
    <n v="218"/>
    <n v="26"/>
    <n v="142500"/>
    <n v="6100"/>
    <n v="7428"/>
    <n v="5.2126315789473687E-2"/>
    <x v="6"/>
    <s v="Product update"/>
    <x v="0"/>
    <s v="text, public_metrics, attachments.media_keys"/>
  </r>
  <r>
    <x v="22"/>
    <d v="2026-04-28T12:47:00"/>
    <s v="Reply"/>
    <s v="Customer"/>
    <s v="0-500"/>
    <s v="Finally! I have been trying to work out what one of my monthly charges was for ages."/>
    <x v="2"/>
    <x v="1"/>
    <m/>
    <s v="Yes"/>
    <x v="1"/>
    <n v="0.64"/>
    <n v="31"/>
    <n v="2"/>
    <n v="3"/>
    <n v="0"/>
    <n v="1800"/>
    <n v="0"/>
    <n v="36"/>
    <n v="0.02"/>
    <x v="6"/>
    <s v="Praise"/>
    <x v="0"/>
    <s v="text, referenced_tweets"/>
  </r>
  <r>
    <x v="23"/>
    <d v="2026-04-28T13:05:00"/>
    <s v="Reply"/>
    <s v="Customer"/>
    <s v="0-500"/>
    <s v="Please add a way to rename merchants manually too. Some labels are still confusing."/>
    <x v="2"/>
    <x v="1"/>
    <m/>
    <s v="Yes"/>
    <x v="3"/>
    <n v="0.08"/>
    <n v="44"/>
    <n v="7"/>
    <n v="5"/>
    <n v="1"/>
    <n v="2600"/>
    <n v="0"/>
    <n v="57"/>
    <n v="2.1923076923076924E-2"/>
    <x v="6"/>
    <s v="Feature feedback"/>
    <x v="0"/>
    <s v="text, referenced_tweets, public_metrics"/>
  </r>
  <r>
    <x v="24"/>
    <d v="2026-04-29T19:30:00"/>
    <s v="Mention"/>
    <s v="Customer"/>
    <s v="0-500"/>
    <s v="ATM near my station has been out of service twice this week. Any update?"/>
    <x v="8"/>
    <x v="1"/>
    <m/>
    <s v="Yes"/>
    <x v="2"/>
    <n v="-0.57999999999999996"/>
    <n v="12"/>
    <n v="8"/>
    <n v="1"/>
    <n v="0"/>
    <n v="1400"/>
    <n v="0"/>
    <n v="21"/>
    <n v="1.4999999999999999E-2"/>
    <x v="0"/>
    <s v="Question"/>
    <x v="1"/>
    <s v="text, entities.mentions, created_at"/>
  </r>
  <r>
    <x v="25"/>
    <d v="2026-05-01T09:05:00"/>
    <s v="Original post"/>
    <s v="CommBank"/>
    <s v="50k+"/>
    <s v="Start the month by checking subscriptions you no longer use. Small recurring payments can add up quickly."/>
    <x v="1"/>
    <x v="0"/>
    <s v="#MoneyTips"/>
    <s v="No"/>
    <x v="1"/>
    <n v="0.51"/>
    <n v="760"/>
    <n v="38"/>
    <n v="160"/>
    <n v="13"/>
    <n v="100400"/>
    <n v="4800"/>
    <n v="5771"/>
    <n v="5.7480079681274901E-2"/>
    <x v="2"/>
    <s v="Educational content"/>
    <x v="0"/>
    <s v="text, created_at, public_metrics"/>
  </r>
  <r>
    <x v="26"/>
    <d v="2026-05-02T10:12:00"/>
    <s v="Mention"/>
    <s v="Customer"/>
    <s v="501-5k"/>
    <s v="The new transaction labels are helpful, but my rent payment is now showing as entertainment, which is... optimistic."/>
    <x v="2"/>
    <x v="1"/>
    <m/>
    <s v="Yes"/>
    <x v="3"/>
    <n v="-0.05"/>
    <n v="105"/>
    <n v="11"/>
    <n v="14"/>
    <n v="2"/>
    <n v="9800"/>
    <n v="0"/>
    <n v="132"/>
    <n v="1.3469387755102041E-2"/>
    <x v="3"/>
    <s v="Feature feedback"/>
    <x v="0"/>
    <s v="text, entities.mentions"/>
  </r>
  <r>
    <x v="27"/>
    <d v="2026-05-03T13:20:00"/>
    <s v="Original post"/>
    <s v="CommBank"/>
    <s v="50k+"/>
    <s v="If you are buying online, use secure payment options and be cautious of sellers asking to move the conversation off-platform."/>
    <x v="0"/>
    <x v="3"/>
    <s v="#OnlineSafety #ScamAwareness"/>
    <s v="No"/>
    <x v="0"/>
    <n v="0.2"/>
    <n v="520"/>
    <n v="44"/>
    <n v="205"/>
    <n v="15"/>
    <n v="132000"/>
    <n v="6900"/>
    <n v="7684"/>
    <n v="5.8212121212121215E-2"/>
    <x v="4"/>
    <s v="Educational content"/>
    <x v="0"/>
    <s v="text, attachments.media_keys, entities.hashtags"/>
  </r>
  <r>
    <x v="28"/>
    <d v="2026-05-03T14:08:00"/>
    <s v="Reply"/>
    <s v="Customer"/>
    <s v="0-500"/>
    <s v="This happened to me on a marketplace sale. A checklist would be really helpful."/>
    <x v="0"/>
    <x v="1"/>
    <m/>
    <s v="Yes"/>
    <x v="3"/>
    <n v="-0.1"/>
    <n v="21"/>
    <n v="3"/>
    <n v="2"/>
    <n v="0"/>
    <n v="1150"/>
    <n v="0"/>
    <n v="26"/>
    <n v="2.2608695652173914E-2"/>
    <x v="4"/>
    <s v="Feature feedback"/>
    <x v="0"/>
    <s v="text, referenced_tweets"/>
  </r>
  <r>
    <x v="29"/>
    <d v="2026-05-04T08:45:00"/>
    <s v="Mention"/>
    <s v="Customer"/>
    <s v="0-500"/>
    <s v="Locked out of NetBank after changing phones. The recovery steps are not clear."/>
    <x v="2"/>
    <x v="1"/>
    <m/>
    <s v="Yes"/>
    <x v="2"/>
    <n v="-0.69"/>
    <n v="39"/>
    <n v="15"/>
    <n v="4"/>
    <n v="1"/>
    <n v="4300"/>
    <n v="0"/>
    <n v="59"/>
    <n v="1.372093023255814E-2"/>
    <x v="5"/>
    <s v="Complaint"/>
    <x v="1"/>
    <s v="text, entities.mentions"/>
  </r>
  <r>
    <x v="30"/>
    <d v="2026-05-05T11:00:00"/>
    <s v="Original post"/>
    <s v="CommBank"/>
    <s v="50k+"/>
    <s v="Today we are sharing practical tips for protecting older family members from impersonation scams."/>
    <x v="0"/>
    <x v="2"/>
    <s v="#ScamAwareness #FamilySafety"/>
    <s v="No"/>
    <x v="1"/>
    <n v="0.42"/>
    <n v="900"/>
    <n v="82"/>
    <n v="360"/>
    <n v="33"/>
    <n v="170000"/>
    <n v="8900"/>
    <n v="10275"/>
    <n v="6.0441176470588234E-2"/>
    <x v="6"/>
    <s v="Educational content"/>
    <x v="0"/>
    <s v="text, entities.urls, public_metrics"/>
  </r>
  <r>
    <x v="31"/>
    <d v="2026-05-05T12:02:00"/>
    <s v="Quote post"/>
    <s v="News/media"/>
    <s v="50k+"/>
    <s v="Useful consumer safety advice from @CommBank as impersonation scams continue to target older Australians."/>
    <x v="0"/>
    <x v="1"/>
    <s v="#ScamAwareness"/>
    <s v="Yes"/>
    <x v="1"/>
    <n v="0.45"/>
    <n v="230"/>
    <n v="18"/>
    <n v="71"/>
    <n v="9"/>
    <n v="31000"/>
    <n v="0"/>
    <n v="328"/>
    <n v="1.0580645161290323E-2"/>
    <x v="6"/>
    <s v="News/update"/>
    <x v="0"/>
    <s v="text, referenced_tweets, public_metrics"/>
  </r>
  <r>
    <x v="32"/>
    <d v="2026-05-06T16:35:00"/>
    <s v="Original post"/>
    <s v="CommBank"/>
    <s v="50k+"/>
    <s v="We are trialling new in-app prompts that ask customers to pause before sending money to a first-time payee."/>
    <x v="6"/>
    <x v="0"/>
    <s v="#CyberSafety"/>
    <s v="No"/>
    <x v="1"/>
    <n v="0.4"/>
    <n v="480"/>
    <n v="93"/>
    <n v="156"/>
    <n v="24"/>
    <n v="124000"/>
    <n v="4100"/>
    <n v="4853"/>
    <n v="3.9137096774193546E-2"/>
    <x v="0"/>
    <s v="Product update"/>
    <x v="0"/>
    <s v="text, public_metrics, attachments.media_keys"/>
  </r>
  <r>
    <x v="33"/>
    <d v="2026-05-06T17:11:00"/>
    <s v="Reply"/>
    <s v="Customer"/>
    <s v="0-500"/>
    <s v="Good idea, but please make sure it does not slow down urgent transfers to family."/>
    <x v="6"/>
    <x v="1"/>
    <m/>
    <s v="Yes"/>
    <x v="3"/>
    <n v="0.04"/>
    <n v="34"/>
    <n v="6"/>
    <n v="2"/>
    <n v="0"/>
    <n v="2100"/>
    <n v="0"/>
    <n v="42"/>
    <n v="0.02"/>
    <x v="0"/>
    <s v="Feature feedback"/>
    <x v="0"/>
    <s v="text, referenced_tweets"/>
  </r>
  <r>
    <x v="34"/>
    <d v="2026-05-07T07:30:00"/>
    <s v="Mention"/>
    <s v="Customer"/>
    <s v="0-500"/>
    <s v="Is PayID down? Two people have tried to pay me and both transfers are stuck."/>
    <x v="5"/>
    <x v="1"/>
    <s v="#PayID"/>
    <s v="Yes"/>
    <x v="2"/>
    <n v="-0.74"/>
    <n v="52"/>
    <n v="21"/>
    <n v="8"/>
    <n v="3"/>
    <n v="7700"/>
    <n v="0"/>
    <n v="84"/>
    <n v="1.090909090909091E-2"/>
    <x v="1"/>
    <s v="Question"/>
    <x v="1"/>
    <s v="text, entities.hashtags, entities.mentions"/>
  </r>
  <r>
    <x v="35"/>
    <d v="2026-05-07T08:02:00"/>
    <s v="Reply"/>
    <s v="CommBank"/>
    <s v="50k+"/>
    <s v="We are aware some customers are seeing delays with PayID transfers and our teams are investigating. We will share updates as soon as possible."/>
    <x v="5"/>
    <x v="1"/>
    <s v="#ServiceUpdate"/>
    <s v="Yes"/>
    <x v="0"/>
    <n v="0"/>
    <n v="141"/>
    <n v="47"/>
    <n v="39"/>
    <n v="12"/>
    <n v="21900"/>
    <n v="0"/>
    <n v="239"/>
    <n v="1.0913242009132421E-2"/>
    <x v="1"/>
    <s v="Customer support"/>
    <x v="0"/>
    <s v="text, conversation_id, public_metrics"/>
  </r>
  <r>
    <x v="36"/>
    <d v="2026-05-09T10:25:00"/>
    <s v="Original post"/>
    <s v="CommBank"/>
    <s v="50k+"/>
    <s v="Know the difference between available balance and current balance before making a large purchase."/>
    <x v="1"/>
    <x v="0"/>
    <s v="#MoneyTips #BankingBasics"/>
    <s v="No"/>
    <x v="0"/>
    <n v="0.25"/>
    <n v="390"/>
    <n v="29"/>
    <n v="85"/>
    <n v="4"/>
    <n v="90300"/>
    <n v="2500"/>
    <n v="3008"/>
    <n v="3.3311184939091916E-2"/>
    <x v="3"/>
    <s v="Educational content"/>
    <x v="0"/>
    <s v="text, entities.hashtags, public_metrics"/>
  </r>
  <r>
    <x v="37"/>
    <d v="2026-05-10T18:50:00"/>
    <s v="Mention"/>
    <s v="Customer"/>
    <s v="0-500"/>
    <s v="Just used the spend tracker for the first time and it was a wake-up call, in a good way."/>
    <x v="1"/>
    <x v="1"/>
    <m/>
    <s v="Yes"/>
    <x v="1"/>
    <n v="0.79"/>
    <n v="47"/>
    <n v="2"/>
    <n v="5"/>
    <n v="0"/>
    <n v="2500"/>
    <n v="0"/>
    <n v="54"/>
    <n v="2.1600000000000001E-2"/>
    <x v="4"/>
    <s v="Praise"/>
    <x v="0"/>
    <s v="text, entities.mentions"/>
  </r>
  <r>
    <x v="38"/>
    <d v="2026-05-12T09:15:00"/>
    <s v="Original post"/>
    <s v="CommBank"/>
    <s v="50k+"/>
    <s v="Card controls can help if your card is misplaced. Temporarily lock, unlock or replace your card in the app."/>
    <x v="9"/>
    <x v="3"/>
    <s v="#CommBankApp"/>
    <s v="No"/>
    <x v="1"/>
    <n v="0.38"/>
    <n v="670"/>
    <n v="58"/>
    <n v="142"/>
    <n v="16"/>
    <n v="111000"/>
    <n v="5300"/>
    <n v="6186"/>
    <n v="5.5729729729729727E-2"/>
    <x v="6"/>
    <s v="Educational content"/>
    <x v="0"/>
    <s v="text, attachments.media_keys, public_metrics"/>
  </r>
  <r>
    <x v="39"/>
    <d v="2026-05-12T09:50:00"/>
    <s v="Reply"/>
    <s v="Customer"/>
    <s v="501-5k"/>
    <s v="This saved me last month. Found the card under my car seat after locking it in the app."/>
    <x v="9"/>
    <x v="1"/>
    <m/>
    <s v="Yes"/>
    <x v="1"/>
    <n v="0.83"/>
    <n v="89"/>
    <n v="5"/>
    <n v="9"/>
    <n v="0"/>
    <n v="6000"/>
    <n v="0"/>
    <n v="103"/>
    <n v="1.7166666666666667E-2"/>
    <x v="6"/>
    <s v="Praise"/>
    <x v="0"/>
    <s v="text, referenced_tweets"/>
  </r>
  <r>
    <x v="40"/>
    <d v="2026-05-14T14:05:00"/>
    <s v="Original post"/>
    <s v="CommBank"/>
    <s v="50k+"/>
    <s v="We are investing in energy efficiency upgrades across selected branches to reduce operational emissions."/>
    <x v="10"/>
    <x v="0"/>
    <s v="#Sustainability"/>
    <s v="No"/>
    <x v="1"/>
    <n v="0.32"/>
    <n v="310"/>
    <n v="112"/>
    <n v="74"/>
    <n v="18"/>
    <n v="98000"/>
    <n v="1200"/>
    <n v="1714"/>
    <n v="1.7489795918367346E-2"/>
    <x v="1"/>
    <s v="News/update"/>
    <x v="0"/>
    <s v="text, entities.hashtags, public_metrics"/>
  </r>
  <r>
    <x v="41"/>
    <d v="2026-05-14T15:02:00"/>
    <s v="Reply"/>
    <s v="Customer"/>
    <s v="0-500"/>
    <s v="Good, but customers also want greener lending options and clearer reporting."/>
    <x v="10"/>
    <x v="1"/>
    <m/>
    <s v="Yes"/>
    <x v="3"/>
    <n v="0.02"/>
    <n v="58"/>
    <n v="8"/>
    <n v="6"/>
    <n v="1"/>
    <n v="3400"/>
    <n v="0"/>
    <n v="73"/>
    <n v="2.1470588235294116E-2"/>
    <x v="1"/>
    <s v="Feature feedback"/>
    <x v="0"/>
    <s v="text, referenced_tweets"/>
  </r>
  <r>
    <x v="42"/>
    <d v="2026-05-16T11:40:00"/>
    <s v="Mention"/>
    <s v="Customer"/>
    <s v="0-500"/>
    <s v="The ATM locator sent me to a branch that has moved. Please update the map."/>
    <x v="8"/>
    <x v="1"/>
    <m/>
    <s v="Yes"/>
    <x v="2"/>
    <n v="-0.62"/>
    <n v="17"/>
    <n v="6"/>
    <n v="2"/>
    <n v="0"/>
    <n v="1250"/>
    <n v="0"/>
    <n v="25"/>
    <n v="0.02"/>
    <x v="3"/>
    <s v="Complaint"/>
    <x v="1"/>
    <s v="text, entities.mentions"/>
  </r>
  <r>
    <x v="43"/>
    <d v="2026-05-18T08:55:00"/>
    <s v="Original post"/>
    <s v="CommBank"/>
    <s v="50k+"/>
    <s v="Before tax time, check that your bank statements and interest summaries are easy to access in NetBank."/>
    <x v="2"/>
    <x v="2"/>
    <s v="#TaxTime #NetBank"/>
    <s v="No"/>
    <x v="0"/>
    <n v="0.18"/>
    <n v="240"/>
    <n v="26"/>
    <n v="58"/>
    <n v="6"/>
    <n v="88000"/>
    <n v="2100"/>
    <n v="2430"/>
    <n v="2.7613636363636365E-2"/>
    <x v="5"/>
    <s v="Educational content"/>
    <x v="0"/>
    <s v="text, entities.urls, public_metrics"/>
  </r>
  <r>
    <x v="44"/>
    <d v="2026-05-19T19:10:00"/>
    <s v="Mention"/>
    <s v="Customer"/>
    <s v="0-500"/>
    <s v="Trying to download statements and the page keeps refreshing. Anyone else?"/>
    <x v="2"/>
    <x v="1"/>
    <s v="#NetBank"/>
    <s v="Yes"/>
    <x v="2"/>
    <n v="-0.56999999999999995"/>
    <n v="36"/>
    <n v="13"/>
    <n v="5"/>
    <n v="1"/>
    <n v="4600"/>
    <n v="0"/>
    <n v="55"/>
    <n v="1.1956521739130435E-2"/>
    <x v="6"/>
    <s v="Question"/>
    <x v="1"/>
    <s v="text, entities.hashtags, entities.mentions"/>
  </r>
  <r>
    <x v="45"/>
    <d v="2026-05-21T13:00:00"/>
    <s v="Original post"/>
    <s v="CommBank"/>
    <s v="50k+"/>
    <s v="Thinking about your first credit card? Compare fees, interest rates and repayment habits before applying."/>
    <x v="1"/>
    <x v="2"/>
    <s v="#BankingBasics #MoneyTips"/>
    <s v="No"/>
    <x v="0"/>
    <n v="0.2"/>
    <n v="280"/>
    <n v="37"/>
    <n v="69"/>
    <n v="9"/>
    <n v="79000"/>
    <n v="3400"/>
    <n v="3795"/>
    <n v="4.8037974683544302E-2"/>
    <x v="1"/>
    <s v="Educational content"/>
    <x v="0"/>
    <s v="text, entities.urls, public_metrics"/>
  </r>
  <r>
    <x v="46"/>
    <d v="2026-05-22T10:30:00"/>
    <s v="Reply"/>
    <s v="Customer"/>
    <s v="0-500"/>
    <s v="Can you make an explainer for students who are new to credit? The language is still intimidating."/>
    <x v="1"/>
    <x v="1"/>
    <m/>
    <s v="Yes"/>
    <x v="0"/>
    <n v="0.11"/>
    <n v="23"/>
    <n v="3"/>
    <n v="3"/>
    <n v="0"/>
    <n v="1600"/>
    <n v="0"/>
    <n v="29"/>
    <n v="1.8124999999999999E-2"/>
    <x v="2"/>
    <s v="Feature feedback"/>
    <x v="0"/>
    <s v="text, referenced_tweets"/>
  </r>
  <r>
    <x v="47"/>
    <d v="2026-05-24T16:22:00"/>
    <s v="Original post"/>
    <s v="CommBank"/>
    <s v="50k+"/>
    <s v="Reminder: genuine bank staff will not ask you to transfer money to a 'safe account'. Stop, check and report suspicious requests."/>
    <x v="0"/>
    <x v="0"/>
    <s v="#ScamAwareness #StopCheckReport"/>
    <s v="No"/>
    <x v="0"/>
    <n v="0.16"/>
    <n v="1280"/>
    <n v="118"/>
    <n v="520"/>
    <n v="47"/>
    <n v="210000"/>
    <n v="10200"/>
    <n v="12165"/>
    <n v="5.7928571428571426E-2"/>
    <x v="4"/>
    <s v="Educational content"/>
    <x v="0"/>
    <s v="text, entities.hashtags, public_metrics"/>
  </r>
  <r>
    <x v="48"/>
    <d v="2026-05-24T17:05:00"/>
    <s v="Mention"/>
    <s v="Customer"/>
    <s v="0-500"/>
    <s v="A caller used the safe account line on my mum today. She hung up because she'd seen your post."/>
    <x v="0"/>
    <x v="1"/>
    <m/>
    <s v="Yes"/>
    <x v="1"/>
    <n v="0.66"/>
    <n v="76"/>
    <n v="4"/>
    <n v="13"/>
    <n v="0"/>
    <n v="5200"/>
    <n v="0"/>
    <n v="93"/>
    <n v="1.7884615384615384E-2"/>
    <x v="4"/>
    <s v="Praise"/>
    <x v="0"/>
    <s v="text, entities.mentions"/>
  </r>
  <r>
    <x v="49"/>
    <d v="2026-05-27T09:40:00"/>
    <s v="Original post"/>
    <s v="CommBank"/>
    <s v="50k+"/>
    <s v="We are updating the app home screen to make upcoming bills and scheduled payments easier to find."/>
    <x v="2"/>
    <x v="0"/>
    <s v="#CommBankApp"/>
    <s v="No"/>
    <x v="1"/>
    <n v="0.44"/>
    <n v="720"/>
    <n v="156"/>
    <n v="132"/>
    <n v="35"/>
    <n v="149000"/>
    <n v="4800"/>
    <n v="5843"/>
    <n v="3.9214765100671144E-2"/>
    <x v="0"/>
    <s v="Product update"/>
    <x v="0"/>
    <s v="text, public_metrics, attachments.media_keys"/>
  </r>
  <r>
    <x v="50"/>
    <d v="2026-05-27T10:05:00"/>
    <s v="Reply"/>
    <s v="Customer"/>
    <s v="0-500"/>
    <s v="Please do not move everything again. The last redesign made regular transfers harder to find."/>
    <x v="2"/>
    <x v="1"/>
    <m/>
    <s v="Yes"/>
    <x v="2"/>
    <n v="-0.49"/>
    <n v="67"/>
    <n v="12"/>
    <n v="5"/>
    <n v="2"/>
    <n v="3900"/>
    <n v="0"/>
    <n v="86"/>
    <n v="2.205128205128205E-2"/>
    <x v="0"/>
    <s v="Feature feedback"/>
    <x v="0"/>
    <s v="text, referenced_tweets"/>
  </r>
  <r>
    <x v="51"/>
    <d v="2026-05-28T13:15:00"/>
    <s v="Mention"/>
    <s v="Customer"/>
    <s v="501-5k"/>
    <s v="Credit where due: the fraud team called quickly after I reported a suspicious transfer."/>
    <x v="0"/>
    <x v="1"/>
    <m/>
    <s v="Yes"/>
    <x v="1"/>
    <n v="0.76"/>
    <n v="112"/>
    <n v="6"/>
    <n v="18"/>
    <n v="1"/>
    <n v="7600"/>
    <n v="0"/>
    <n v="137"/>
    <n v="1.8026315789473685E-2"/>
    <x v="1"/>
    <s v="Praise"/>
    <x v="0"/>
    <s v="text, entities.mentions, public_metrics"/>
  </r>
  <r>
    <x v="52"/>
    <d v="2026-06-01T08:30:00"/>
    <s v="Original post"/>
    <s v="CommBank"/>
    <s v="50k+"/>
    <s v="Winter energy bills can be unpredictable. Build a small buffer where possible and review direct debits before they are due."/>
    <x v="1"/>
    <x v="0"/>
    <s v="#MoneyTips #Budgeting"/>
    <s v="No"/>
    <x v="0"/>
    <n v="0.21"/>
    <n v="340"/>
    <n v="31"/>
    <n v="76"/>
    <n v="8"/>
    <n v="93000"/>
    <n v="3600"/>
    <n v="4055"/>
    <n v="4.3602150537634408E-2"/>
    <x v="5"/>
    <s v="Educational content"/>
    <x v="0"/>
    <s v="text, created_at, public_metrics"/>
  </r>
  <r>
    <x v="53"/>
    <d v="2026-06-02T18:20:00"/>
    <s v="Mention"/>
    <s v="Customer"/>
    <s v="0-500"/>
    <s v="Can the app notify me before a direct debit if my balance is low? That would prevent a lot of stress."/>
    <x v="2"/>
    <x v="1"/>
    <m/>
    <s v="Yes"/>
    <x v="3"/>
    <n v="0.15"/>
    <n v="84"/>
    <n v="10"/>
    <n v="11"/>
    <n v="1"/>
    <n v="5900"/>
    <n v="0"/>
    <n v="106"/>
    <n v="1.7966101694915255E-2"/>
    <x v="6"/>
    <s v="Feature feedback"/>
    <x v="0"/>
    <s v="text, entities.mentions"/>
  </r>
  <r>
    <x v="54"/>
    <d v="2026-06-05T12:00:00"/>
    <s v="Original post"/>
    <s v="CommBank"/>
    <s v="50k+"/>
    <s v="We are celebrating teams volunteering with local partners to improve financial confidence in regional communities."/>
    <x v="7"/>
    <x v="3"/>
    <s v="#Community #Volunteering"/>
    <s v="No"/>
    <x v="1"/>
    <n v="0.69"/>
    <n v="860"/>
    <n v="44"/>
    <n v="188"/>
    <n v="14"/>
    <n v="125000"/>
    <n v="3100"/>
    <n v="4206"/>
    <n v="3.3647999999999997E-2"/>
    <x v="2"/>
    <s v="Campaign"/>
    <x v="0"/>
    <s v="text, attachments.media_keys, entities.hashtags"/>
  </r>
  <r>
    <x v="55"/>
    <d v="2026-06-06T15:35:00"/>
    <s v="Quote post"/>
    <s v="Community org"/>
    <s v="501-5k"/>
    <s v="Thank you @CommBank for supporting practical financial education in our region."/>
    <x v="7"/>
    <x v="0"/>
    <s v="#Community"/>
    <s v="Yes"/>
    <x v="1"/>
    <n v="0.88"/>
    <n v="122"/>
    <n v="4"/>
    <n v="28"/>
    <n v="2"/>
    <n v="6900"/>
    <n v="0"/>
    <n v="156"/>
    <n v="2.2608695652173914E-2"/>
    <x v="3"/>
    <s v="Praise"/>
    <x v="0"/>
    <s v="text, referenced_tweets, entities.mentions"/>
  </r>
  <r>
    <x v="56"/>
    <d v="2026-06-09T09:25:00"/>
    <s v="Original post"/>
    <s v="CommBank"/>
    <s v="50k+"/>
    <s v="If a payment request arrives unexpectedly, call the person on a trusted number before sending money."/>
    <x v="6"/>
    <x v="0"/>
    <s v="#CyberSafety #StopCheckReport"/>
    <s v="No"/>
    <x v="0"/>
    <n v="0.19"/>
    <n v="740"/>
    <n v="63"/>
    <n v="295"/>
    <n v="22"/>
    <n v="151000"/>
    <n v="7200"/>
    <n v="8320"/>
    <n v="5.5099337748344371E-2"/>
    <x v="6"/>
    <s v="Educational content"/>
    <x v="0"/>
    <s v="text, entities.hashtags, public_metrics"/>
  </r>
  <r>
    <x v="57"/>
    <d v="2026-06-10T20:12:00"/>
    <s v="Mention"/>
    <s v="Customer"/>
    <s v="0-500"/>
    <s v="Why is there no clear scam reporting button in the app? I had to search around for it."/>
    <x v="0"/>
    <x v="1"/>
    <m/>
    <s v="Yes"/>
    <x v="2"/>
    <n v="-0.64"/>
    <n v="45"/>
    <n v="12"/>
    <n v="4"/>
    <n v="1"/>
    <n v="4100"/>
    <n v="0"/>
    <n v="62"/>
    <n v="1.5121951219512195E-2"/>
    <x v="0"/>
    <s v="Complaint"/>
    <x v="1"/>
    <s v="text, entities.mentions"/>
  </r>
  <r>
    <x v="58"/>
    <d v="2026-06-12T11:10:00"/>
    <s v="Original post"/>
    <s v="CommBank"/>
    <s v="50k+"/>
    <s v="Our app update includes accessibility improvements for screen readers and clearer error messages."/>
    <x v="2"/>
    <x v="0"/>
    <s v="#CommBankApp #Accessibility"/>
    <s v="No"/>
    <x v="1"/>
    <n v="0.61"/>
    <n v="690"/>
    <n v="73"/>
    <n v="148"/>
    <n v="20"/>
    <n v="121000"/>
    <n v="3900"/>
    <n v="4831"/>
    <n v="3.992561983471074E-2"/>
    <x v="2"/>
    <s v="Product update"/>
    <x v="0"/>
    <s v="text, entities.hashtags, public_metrics"/>
  </r>
  <r>
    <x v="59"/>
    <d v="2026-06-12T12:06:00"/>
    <s v="Reply"/>
    <s v="Customer"/>
    <s v="0-500"/>
    <s v="The clearer error messages help. Please make the font size easier to adjust too."/>
    <x v="2"/>
    <x v="1"/>
    <m/>
    <s v="Yes"/>
    <x v="3"/>
    <n v="0.25"/>
    <n v="38"/>
    <n v="5"/>
    <n v="3"/>
    <n v="0"/>
    <n v="2400"/>
    <n v="0"/>
    <n v="46"/>
    <n v="1.9166666666666665E-2"/>
    <x v="2"/>
    <s v="Feature feedback"/>
    <x v="0"/>
    <s v="text, referenced_twee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D1A24F-5C9E-4D8F-9C64-3A07692CD477}" name="PivotTable5"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ay of Week">
  <location ref="E21:J30" firstHeaderRow="1" firstDataRow="2" firstDataCol="1"/>
  <pivotFields count="24">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64" showAll="0"/>
    <pivotField showAll="0"/>
    <pivotField showAll="0"/>
    <pivotField showAll="0"/>
    <pivotField showAll="0"/>
    <pivotField showAll="0"/>
    <pivotField showAll="0"/>
    <pivotField showAll="0"/>
    <pivotField showAll="0"/>
    <pivotField axis="axisCol" showAll="0">
      <items count="5">
        <item x="3"/>
        <item x="2"/>
        <item x="0"/>
        <item x="1"/>
        <item t="default"/>
      </items>
    </pivotField>
    <pivotField numFmtId="2" showAll="0"/>
    <pivotField numFmtId="3" showAll="0"/>
    <pivotField numFmtId="3" showAll="0"/>
    <pivotField numFmtId="3" showAll="0"/>
    <pivotField numFmtId="3" showAll="0"/>
    <pivotField numFmtId="3" showAll="0"/>
    <pivotField numFmtId="3" showAll="0"/>
    <pivotField numFmtId="3" showAll="0"/>
    <pivotField numFmtId="10" showAll="0"/>
    <pivotField axis="axisRow" showAll="0">
      <items count="8">
        <item x="4"/>
        <item x="5"/>
        <item x="6"/>
        <item x="0"/>
        <item x="1"/>
        <item x="2"/>
        <item x="3"/>
        <item t="default"/>
      </items>
    </pivotField>
    <pivotField showAll="0"/>
    <pivotField showAll="0"/>
    <pivotField showAll="0"/>
  </pivotFields>
  <rowFields count="1">
    <field x="20"/>
  </rowFields>
  <rowItems count="8">
    <i>
      <x/>
    </i>
    <i>
      <x v="1"/>
    </i>
    <i>
      <x v="2"/>
    </i>
    <i>
      <x v="3"/>
    </i>
    <i>
      <x v="4"/>
    </i>
    <i>
      <x v="5"/>
    </i>
    <i>
      <x v="6"/>
    </i>
    <i t="grand">
      <x/>
    </i>
  </rowItems>
  <colFields count="1">
    <field x="10"/>
  </colFields>
  <colItems count="5">
    <i>
      <x/>
    </i>
    <i>
      <x v="1"/>
    </i>
    <i>
      <x v="2"/>
    </i>
    <i>
      <x v="3"/>
    </i>
    <i t="grand">
      <x/>
    </i>
  </colItems>
  <dataFields count="1">
    <dataField name="Count of pos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C95223-DCF9-4270-9915-2D554F61862E}" name="PivotTable4"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ntent Format">
  <location ref="A21:B26" firstHeaderRow="1" firstDataRow="1" firstDataCol="1"/>
  <pivotFields count="24">
    <pivotField showAll="0"/>
    <pivotField numFmtId="164"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numFmtId="2" showAll="0"/>
    <pivotField numFmtId="3" showAll="0"/>
    <pivotField numFmtId="3" showAll="0"/>
    <pivotField numFmtId="3" showAll="0"/>
    <pivotField numFmtId="3" showAll="0"/>
    <pivotField numFmtId="3" showAll="0"/>
    <pivotField numFmtId="3" showAll="0"/>
    <pivotField numFmtId="3" showAll="0"/>
    <pivotField dataField="1" numFmtId="10" showAll="0"/>
    <pivotField showAll="0"/>
    <pivotField showAll="0"/>
    <pivotField showAll="0"/>
    <pivotField showAll="0"/>
  </pivotFields>
  <rowFields count="1">
    <field x="7"/>
  </rowFields>
  <rowItems count="5">
    <i>
      <x/>
    </i>
    <i>
      <x v="1"/>
    </i>
    <i>
      <x v="2"/>
    </i>
    <i>
      <x v="3"/>
    </i>
    <i t="grand">
      <x/>
    </i>
  </rowItems>
  <colItems count="1">
    <i/>
  </colItems>
  <dataFields count="1">
    <dataField name="Average of engagement_rate" fld="19" subtotal="average" baseField="7"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C43FE4-F4AC-4367-89D6-51A3B26A3DBB}" name="PivotTable3"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5:N12" firstHeaderRow="1" firstDataRow="2" firstDataCol="1" rowPageCount="1" colPageCount="1"/>
  <pivotFields count="24">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64" showAll="0"/>
    <pivotField showAll="0"/>
    <pivotField showAll="0"/>
    <pivotField showAll="0"/>
    <pivotField showAll="0"/>
    <pivotField axis="axisRow" showAll="0">
      <items count="12">
        <item x="8"/>
        <item x="4"/>
        <item x="9"/>
        <item x="7"/>
        <item x="3"/>
        <item x="2"/>
        <item x="1"/>
        <item x="0"/>
        <item x="5"/>
        <item x="6"/>
        <item x="10"/>
        <item t="default"/>
      </items>
    </pivotField>
    <pivotField showAll="0"/>
    <pivotField showAll="0"/>
    <pivotField showAll="0"/>
    <pivotField axis="axisCol" showAll="0">
      <items count="5">
        <item x="3"/>
        <item x="2"/>
        <item x="0"/>
        <item x="1"/>
        <item t="default"/>
      </items>
    </pivotField>
    <pivotField numFmtId="2" showAll="0"/>
    <pivotField numFmtId="3" showAll="0"/>
    <pivotField numFmtId="3" showAll="0"/>
    <pivotField numFmtId="3" showAll="0"/>
    <pivotField numFmtId="3" showAll="0"/>
    <pivotField numFmtId="3" showAll="0"/>
    <pivotField numFmtId="3" showAll="0"/>
    <pivotField numFmtId="3" showAll="0"/>
    <pivotField numFmtId="10" showAll="0"/>
    <pivotField showAll="0"/>
    <pivotField showAll="0"/>
    <pivotField axis="axisPage" showAll="0">
      <items count="3">
        <item x="0"/>
        <item x="1"/>
        <item t="default"/>
      </items>
    </pivotField>
    <pivotField showAll="0"/>
  </pivotFields>
  <rowFields count="1">
    <field x="6"/>
  </rowFields>
  <rowItems count="6">
    <i>
      <x/>
    </i>
    <i>
      <x v="2"/>
    </i>
    <i>
      <x v="5"/>
    </i>
    <i>
      <x v="7"/>
    </i>
    <i>
      <x v="8"/>
    </i>
    <i t="grand">
      <x/>
    </i>
  </rowItems>
  <colFields count="1">
    <field x="10"/>
  </colFields>
  <colItems count="3">
    <i>
      <x v="1"/>
    </i>
    <i>
      <x v="2"/>
    </i>
    <i t="grand">
      <x/>
    </i>
  </colItems>
  <pageFields count="1">
    <pageField fld="22" item="1" hier="-1"/>
  </pageFields>
  <dataFields count="1">
    <dataField name="Count of pos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D110CB-1242-4CD0-9D1C-85F67A742D66}" name="PivotTable2"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Topic">
  <location ref="E3:F15" firstHeaderRow="1" firstDataRow="1" firstDataCol="1"/>
  <pivotFields count="24">
    <pivotField showAll="0"/>
    <pivotField numFmtId="164" showAll="0"/>
    <pivotField showAll="0"/>
    <pivotField showAll="0"/>
    <pivotField showAll="0"/>
    <pivotField showAll="0"/>
    <pivotField axis="axisRow" showAll="0">
      <items count="12">
        <item x="8"/>
        <item x="4"/>
        <item x="9"/>
        <item x="7"/>
        <item x="3"/>
        <item x="2"/>
        <item x="1"/>
        <item x="0"/>
        <item x="5"/>
        <item x="6"/>
        <item x="10"/>
        <item t="default"/>
      </items>
    </pivotField>
    <pivotField showAll="0"/>
    <pivotField showAll="0"/>
    <pivotField showAll="0"/>
    <pivotField showAll="0"/>
    <pivotField numFmtId="2" showAll="0"/>
    <pivotField numFmtId="3" showAll="0"/>
    <pivotField numFmtId="3" showAll="0"/>
    <pivotField numFmtId="3" showAll="0"/>
    <pivotField numFmtId="3" showAll="0"/>
    <pivotField numFmtId="3" showAll="0"/>
    <pivotField numFmtId="3" showAll="0"/>
    <pivotField dataField="1" numFmtId="3" showAll="0"/>
    <pivotField numFmtId="10" showAll="0"/>
    <pivotField showAll="0"/>
    <pivotField showAll="0"/>
    <pivotField showAll="0"/>
    <pivotField showAll="0"/>
  </pivotFields>
  <rowFields count="1">
    <field x="6"/>
  </rowFields>
  <rowItems count="12">
    <i>
      <x/>
    </i>
    <i>
      <x v="1"/>
    </i>
    <i>
      <x v="2"/>
    </i>
    <i>
      <x v="3"/>
    </i>
    <i>
      <x v="4"/>
    </i>
    <i>
      <x v="5"/>
    </i>
    <i>
      <x v="6"/>
    </i>
    <i>
      <x v="7"/>
    </i>
    <i>
      <x v="8"/>
    </i>
    <i>
      <x v="9"/>
    </i>
    <i>
      <x v="10"/>
    </i>
    <i t="grand">
      <x/>
    </i>
  </rowItems>
  <colItems count="1">
    <i/>
  </colItems>
  <dataFields count="1">
    <dataField name="Sum of total_engagement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18C60B-F914-430D-ACB2-B243D2D5171C}" name="PivotTable1"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Topic">
  <location ref="A3:B15" firstHeaderRow="1" firstDataRow="1" firstDataCol="1"/>
  <pivotFields count="24">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64" showAll="0"/>
    <pivotField showAll="0"/>
    <pivotField showAll="0"/>
    <pivotField showAll="0"/>
    <pivotField showAll="0"/>
    <pivotField axis="axisRow" showAll="0">
      <items count="12">
        <item x="8"/>
        <item x="4"/>
        <item x="9"/>
        <item x="7"/>
        <item x="3"/>
        <item x="2"/>
        <item x="1"/>
        <item x="0"/>
        <item x="5"/>
        <item x="6"/>
        <item x="10"/>
        <item t="default"/>
      </items>
    </pivotField>
    <pivotField showAll="0"/>
    <pivotField showAll="0"/>
    <pivotField showAll="0"/>
    <pivotField showAll="0"/>
    <pivotField numFmtId="2" showAll="0"/>
    <pivotField numFmtId="3" showAll="0"/>
    <pivotField numFmtId="3" showAll="0"/>
    <pivotField numFmtId="3" showAll="0"/>
    <pivotField numFmtId="3" showAll="0"/>
    <pivotField numFmtId="3" showAll="0"/>
    <pivotField numFmtId="3" showAll="0"/>
    <pivotField numFmtId="3" showAll="0"/>
    <pivotField numFmtId="10" showAll="0"/>
    <pivotField showAll="0"/>
    <pivotField showAll="0"/>
    <pivotField showAll="0"/>
    <pivotField showAll="0"/>
  </pivotFields>
  <rowFields count="1">
    <field x="6"/>
  </rowFields>
  <rowItems count="12">
    <i>
      <x/>
    </i>
    <i>
      <x v="1"/>
    </i>
    <i>
      <x v="2"/>
    </i>
    <i>
      <x v="3"/>
    </i>
    <i>
      <x v="4"/>
    </i>
    <i>
      <x v="5"/>
    </i>
    <i>
      <x v="6"/>
    </i>
    <i>
      <x v="7"/>
    </i>
    <i>
      <x v="8"/>
    </i>
    <i>
      <x v="9"/>
    </i>
    <i>
      <x v="10"/>
    </i>
    <i t="grand">
      <x/>
    </i>
  </rowItems>
  <colItems count="1">
    <i/>
  </colItems>
  <dataFields count="1">
    <dataField name="Count of pos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cialMediaPosts" displayName="SocialMediaPosts" ref="A1:X61">
  <tableColumns count="24">
    <tableColumn id="1" xr3:uid="{00000000-0010-0000-0000-000001000000}" name="post_id"/>
    <tableColumn id="2" xr3:uid="{00000000-0010-0000-0000-000002000000}" name="post_datetime"/>
    <tableColumn id="3" xr3:uid="{00000000-0010-0000-0000-000003000000}" name="post_type"/>
    <tableColumn id="4" xr3:uid="{00000000-0010-0000-0000-000004000000}" name="author_type"/>
    <tableColumn id="5" xr3:uid="{00000000-0010-0000-0000-000005000000}" name="author_follower_bucket"/>
    <tableColumn id="6" xr3:uid="{00000000-0010-0000-0000-000006000000}" name="post_text"/>
    <tableColumn id="7" xr3:uid="{00000000-0010-0000-0000-000007000000}" name="topic"/>
    <tableColumn id="8" xr3:uid="{00000000-0010-0000-0000-000008000000}" name="content_format"/>
    <tableColumn id="9" xr3:uid="{00000000-0010-0000-0000-000009000000}" name="hashtags"/>
    <tableColumn id="10" xr3:uid="{00000000-0010-0000-0000-00000A000000}" name="mentions_commbank"/>
    <tableColumn id="11" xr3:uid="{00000000-0010-0000-0000-00000B000000}" name="sentiment_label"/>
    <tableColumn id="12" xr3:uid="{00000000-0010-0000-0000-00000C000000}" name="sentiment_score"/>
    <tableColumn id="13" xr3:uid="{00000000-0010-0000-0000-00000D000000}" name="likes"/>
    <tableColumn id="14" xr3:uid="{00000000-0010-0000-0000-00000E000000}" name="replies"/>
    <tableColumn id="15" xr3:uid="{00000000-0010-0000-0000-00000F000000}" name="reposts"/>
    <tableColumn id="16" xr3:uid="{00000000-0010-0000-0000-000010000000}" name="quote_posts"/>
    <tableColumn id="17" xr3:uid="{00000000-0010-0000-0000-000011000000}" name="views"/>
    <tableColumn id="18" xr3:uid="{00000000-0010-0000-0000-000012000000}" name="link_clicks"/>
    <tableColumn id="19" xr3:uid="{00000000-0010-0000-0000-000013000000}" name="total_engagements"/>
    <tableColumn id="20" xr3:uid="{00000000-0010-0000-0000-000014000000}" name="engagement_rate"/>
    <tableColumn id="21" xr3:uid="{00000000-0010-0000-0000-000015000000}" name="day_of_week"/>
    <tableColumn id="22" xr3:uid="{00000000-0010-0000-0000-000016000000}" name="customer_intent"/>
    <tableColumn id="23" xr3:uid="{00000000-0010-0000-0000-000017000000}" name="response_needed"/>
    <tableColumn id="24" xr3:uid="{00000000-0010-0000-0000-000018000000}" name="api_field_examp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Dictionary" displayName="DataDictionary" ref="A1:D25">
  <tableColumns count="4">
    <tableColumn id="1" xr3:uid="{00000000-0010-0000-0100-000001000000}" name="Column"/>
    <tableColumn id="2" xr3:uid="{00000000-0010-0000-0100-000002000000}" name="Description"/>
    <tableColumn id="3" xr3:uid="{00000000-0010-0000-0100-000003000000}" name="Student use"/>
    <tableColumn id="4" xr3:uid="{00000000-0010-0000-0100-000004000000}" name="X/Twitter API or analytics concep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nalysisPrompts" displayName="AnalysisPrompts" ref="A1:C9">
  <tableColumns count="3">
    <tableColumn id="1" xr3:uid="{00000000-0010-0000-0200-000001000000}" name="Analysis area"/>
    <tableColumn id="2" xr3:uid="{00000000-0010-0000-0200-000002000000}" name="Question learners can answer with the dataset"/>
    <tableColumn id="3" xr3:uid="{00000000-0010-0000-0200-000003000000}" name="Relevant column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ourcesTable" displayName="ResourcesTable" ref="A1:C4">
  <tableColumns count="3">
    <tableColumn id="1" xr3:uid="{00000000-0010-0000-0300-000001000000}" name="Resource"/>
    <tableColumn id="2" xr3:uid="{00000000-0010-0000-0300-000002000000}" name="Use in task"/>
    <tableColumn id="3" xr3:uid="{00000000-0010-0000-0300-000003000000}" name="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workbookViewId="0"/>
  </sheetViews>
  <sheetFormatPr defaultRowHeight="14.25"/>
  <cols>
    <col min="1" max="1" width="110" customWidth="1"/>
  </cols>
  <sheetData>
    <row r="1" spans="1:1" ht="30" customHeight="1">
      <c r="A1" s="1" t="s">
        <v>0</v>
      </c>
    </row>
    <row r="2" spans="1:1" ht="15">
      <c r="A2" s="2" t="s">
        <v>1</v>
      </c>
    </row>
    <row r="3" spans="1:1" ht="28.5">
      <c r="A3" s="3" t="s">
        <v>2</v>
      </c>
    </row>
    <row r="4" spans="1:1" ht="15">
      <c r="A4" s="4" t="s">
        <v>3</v>
      </c>
    </row>
    <row r="5" spans="1:1" ht="28.5">
      <c r="A5" s="3" t="s">
        <v>4</v>
      </c>
    </row>
    <row r="6" spans="1:1" ht="15">
      <c r="A6" s="4" t="s">
        <v>5</v>
      </c>
    </row>
    <row r="7" spans="1:1" ht="28.5">
      <c r="A7" s="3" t="s">
        <v>6</v>
      </c>
    </row>
    <row r="8" spans="1:1" ht="15">
      <c r="A8" s="4" t="s">
        <v>7</v>
      </c>
    </row>
    <row r="9" spans="1:1" ht="42.75">
      <c r="A9" s="3"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5F166-09AF-42DA-BAE8-90956C9CC9D4}">
  <dimension ref="A2:N30"/>
  <sheetViews>
    <sheetView zoomScale="71" zoomScaleNormal="71" workbookViewId="0">
      <selection activeCell="K21" sqref="K21"/>
    </sheetView>
  </sheetViews>
  <sheetFormatPr defaultRowHeight="14.25"/>
  <cols>
    <col min="1" max="1" width="50" customWidth="1"/>
    <col min="2" max="2" width="27" bestFit="1" customWidth="1"/>
    <col min="5" max="5" width="18.375" bestFit="1" customWidth="1"/>
    <col min="6" max="6" width="24.75" bestFit="1" customWidth="1"/>
    <col min="7" max="7" width="8.875" bestFit="1" customWidth="1"/>
    <col min="8" max="8" width="7.375" bestFit="1" customWidth="1"/>
    <col min="9" max="9" width="8.125" bestFit="1" customWidth="1"/>
    <col min="10" max="10" width="11.375" bestFit="1" customWidth="1"/>
    <col min="11" max="11" width="43.5" bestFit="1" customWidth="1"/>
    <col min="12" max="12" width="16.125" bestFit="1" customWidth="1"/>
    <col min="13" max="13" width="7.375" bestFit="1" customWidth="1"/>
    <col min="14" max="14" width="11.375" bestFit="1" customWidth="1"/>
    <col min="15" max="15" width="8.125" bestFit="1" customWidth="1"/>
    <col min="16" max="16" width="11.375" bestFit="1" customWidth="1"/>
  </cols>
  <sheetData>
    <row r="2" spans="1:14" ht="15">
      <c r="A2" s="14" t="s">
        <v>372</v>
      </c>
      <c r="B2" s="14"/>
      <c r="E2" s="14" t="s">
        <v>368</v>
      </c>
      <c r="F2" s="14"/>
      <c r="K2" s="14" t="s">
        <v>369</v>
      </c>
      <c r="L2" s="14"/>
      <c r="M2" s="14"/>
      <c r="N2" s="14"/>
    </row>
    <row r="3" spans="1:14">
      <c r="A3" s="10" t="s">
        <v>373</v>
      </c>
      <c r="B3" t="s">
        <v>357</v>
      </c>
      <c r="E3" s="10" t="s">
        <v>373</v>
      </c>
      <c r="F3" t="s">
        <v>358</v>
      </c>
      <c r="K3" s="10" t="s">
        <v>31</v>
      </c>
      <c r="L3" t="s">
        <v>51</v>
      </c>
    </row>
    <row r="4" spans="1:14">
      <c r="A4" s="11" t="s">
        <v>126</v>
      </c>
      <c r="B4" s="12">
        <v>3</v>
      </c>
      <c r="E4" s="11" t="s">
        <v>126</v>
      </c>
      <c r="F4" s="12">
        <v>90</v>
      </c>
    </row>
    <row r="5" spans="1:14">
      <c r="A5" s="11" t="s">
        <v>88</v>
      </c>
      <c r="B5" s="12">
        <v>3</v>
      </c>
      <c r="E5" s="11" t="s">
        <v>88</v>
      </c>
      <c r="F5" s="12">
        <v>2671</v>
      </c>
      <c r="K5" s="10" t="s">
        <v>357</v>
      </c>
      <c r="L5" s="10" t="s">
        <v>359</v>
      </c>
    </row>
    <row r="6" spans="1:14">
      <c r="A6" s="11" t="s">
        <v>130</v>
      </c>
      <c r="B6" s="12">
        <v>4</v>
      </c>
      <c r="E6" s="11" t="s">
        <v>130</v>
      </c>
      <c r="F6" s="12">
        <v>8303</v>
      </c>
      <c r="K6" s="10" t="s">
        <v>355</v>
      </c>
      <c r="L6" t="s">
        <v>58</v>
      </c>
      <c r="M6" t="s">
        <v>42</v>
      </c>
      <c r="N6" t="s">
        <v>356</v>
      </c>
    </row>
    <row r="7" spans="1:14">
      <c r="A7" s="11" t="s">
        <v>117</v>
      </c>
      <c r="B7" s="12">
        <v>4</v>
      </c>
      <c r="E7" s="11" t="s">
        <v>117</v>
      </c>
      <c r="F7" s="12">
        <v>8279</v>
      </c>
      <c r="K7" s="11" t="s">
        <v>126</v>
      </c>
      <c r="L7" s="12">
        <v>3</v>
      </c>
      <c r="M7" s="12"/>
      <c r="N7" s="12">
        <v>3</v>
      </c>
    </row>
    <row r="8" spans="1:14">
      <c r="A8" s="11" t="s">
        <v>78</v>
      </c>
      <c r="B8" s="12">
        <v>1</v>
      </c>
      <c r="E8" s="11" t="s">
        <v>78</v>
      </c>
      <c r="F8" s="12">
        <v>17</v>
      </c>
      <c r="K8" s="11" t="s">
        <v>130</v>
      </c>
      <c r="L8" s="12"/>
      <c r="M8" s="12">
        <v>1</v>
      </c>
      <c r="N8" s="12">
        <v>1</v>
      </c>
    </row>
    <row r="9" spans="1:14">
      <c r="A9" s="11" t="s">
        <v>73</v>
      </c>
      <c r="B9" s="12">
        <v>13</v>
      </c>
      <c r="E9" s="11" t="s">
        <v>73</v>
      </c>
      <c r="F9" s="12">
        <v>21176</v>
      </c>
      <c r="K9" s="11" t="s">
        <v>73</v>
      </c>
      <c r="L9" s="12">
        <v>3</v>
      </c>
      <c r="M9" s="12"/>
      <c r="N9" s="12">
        <v>3</v>
      </c>
    </row>
    <row r="10" spans="1:14">
      <c r="A10" s="11" t="s">
        <v>63</v>
      </c>
      <c r="B10" s="12">
        <v>9</v>
      </c>
      <c r="E10" s="11" t="s">
        <v>63</v>
      </c>
      <c r="F10" s="12">
        <v>23309</v>
      </c>
      <c r="K10" s="11" t="s">
        <v>38</v>
      </c>
      <c r="L10" s="12">
        <v>2</v>
      </c>
      <c r="M10" s="12"/>
      <c r="N10" s="12">
        <v>2</v>
      </c>
    </row>
    <row r="11" spans="1:14">
      <c r="A11" s="11" t="s">
        <v>38</v>
      </c>
      <c r="B11" s="12">
        <v>11</v>
      </c>
      <c r="E11" s="11" t="s">
        <v>38</v>
      </c>
      <c r="F11" s="12">
        <v>36283</v>
      </c>
      <c r="K11" s="11" t="s">
        <v>92</v>
      </c>
      <c r="L11" s="12">
        <v>2</v>
      </c>
      <c r="M11" s="12"/>
      <c r="N11" s="12">
        <v>2</v>
      </c>
    </row>
    <row r="12" spans="1:14">
      <c r="A12" s="11" t="s">
        <v>92</v>
      </c>
      <c r="B12" s="12">
        <v>5</v>
      </c>
      <c r="E12" s="11" t="s">
        <v>92</v>
      </c>
      <c r="F12" s="12">
        <v>1714</v>
      </c>
      <c r="K12" s="11" t="s">
        <v>356</v>
      </c>
      <c r="L12" s="12">
        <v>10</v>
      </c>
      <c r="M12" s="12">
        <v>1</v>
      </c>
      <c r="N12" s="12">
        <v>11</v>
      </c>
    </row>
    <row r="13" spans="1:14">
      <c r="A13" s="11" t="s">
        <v>104</v>
      </c>
      <c r="B13" s="12">
        <v>5</v>
      </c>
      <c r="E13" s="11" t="s">
        <v>104</v>
      </c>
      <c r="F13" s="12">
        <v>22360</v>
      </c>
    </row>
    <row r="14" spans="1:14">
      <c r="A14" s="11" t="s">
        <v>194</v>
      </c>
      <c r="B14" s="12">
        <v>2</v>
      </c>
      <c r="E14" s="11" t="s">
        <v>194</v>
      </c>
      <c r="F14" s="12">
        <v>1787</v>
      </c>
    </row>
    <row r="15" spans="1:14">
      <c r="A15" s="11" t="s">
        <v>356</v>
      </c>
      <c r="B15" s="12">
        <v>60</v>
      </c>
      <c r="E15" s="11" t="s">
        <v>356</v>
      </c>
      <c r="F15" s="12">
        <v>125989</v>
      </c>
    </row>
    <row r="20" spans="1:10" ht="15">
      <c r="A20" s="14" t="s">
        <v>370</v>
      </c>
      <c r="B20" s="14"/>
      <c r="E20" s="14" t="s">
        <v>371</v>
      </c>
      <c r="F20" s="14"/>
      <c r="G20" s="14"/>
      <c r="H20" s="14"/>
      <c r="I20" s="14"/>
      <c r="J20" s="14"/>
    </row>
    <row r="21" spans="1:10">
      <c r="A21" s="10" t="s">
        <v>374</v>
      </c>
      <c r="B21" t="s">
        <v>360</v>
      </c>
      <c r="E21" s="10" t="s">
        <v>357</v>
      </c>
      <c r="F21" s="10" t="s">
        <v>359</v>
      </c>
    </row>
    <row r="22" spans="1:10">
      <c r="A22" s="11" t="s">
        <v>82</v>
      </c>
      <c r="B22" s="13">
        <v>3.687124934460298E-2</v>
      </c>
      <c r="E22" s="10" t="s">
        <v>375</v>
      </c>
      <c r="F22" t="s">
        <v>140</v>
      </c>
      <c r="G22" t="s">
        <v>58</v>
      </c>
      <c r="H22" t="s">
        <v>42</v>
      </c>
      <c r="I22" t="s">
        <v>52</v>
      </c>
      <c r="J22" t="s">
        <v>356</v>
      </c>
    </row>
    <row r="23" spans="1:10">
      <c r="A23" s="11" t="s">
        <v>50</v>
      </c>
      <c r="B23" s="13">
        <v>1.7156352276545425E-2</v>
      </c>
      <c r="E23" s="11" t="s">
        <v>361</v>
      </c>
      <c r="F23" s="12">
        <v>1</v>
      </c>
      <c r="G23" s="12"/>
      <c r="H23" s="12">
        <v>2</v>
      </c>
      <c r="I23" s="12">
        <v>4</v>
      </c>
      <c r="J23" s="12">
        <v>7</v>
      </c>
    </row>
    <row r="24" spans="1:10">
      <c r="A24" s="11" t="s">
        <v>39</v>
      </c>
      <c r="B24" s="13">
        <v>4.3716660577090276E-2</v>
      </c>
      <c r="E24" s="11" t="s">
        <v>362</v>
      </c>
      <c r="F24" s="12">
        <v>1</v>
      </c>
      <c r="G24" s="12">
        <v>1</v>
      </c>
      <c r="H24" s="12">
        <v>3</v>
      </c>
      <c r="I24" s="12">
        <v>1</v>
      </c>
      <c r="J24" s="12">
        <v>6</v>
      </c>
    </row>
    <row r="25" spans="1:10">
      <c r="A25" s="11" t="s">
        <v>105</v>
      </c>
      <c r="B25" s="13">
        <v>5.1333360171360171E-2</v>
      </c>
      <c r="E25" s="11" t="s">
        <v>363</v>
      </c>
      <c r="F25" s="12">
        <v>2</v>
      </c>
      <c r="G25" s="12">
        <v>2</v>
      </c>
      <c r="H25" s="12">
        <v>1</v>
      </c>
      <c r="I25" s="12">
        <v>6</v>
      </c>
      <c r="J25" s="12">
        <v>11</v>
      </c>
    </row>
    <row r="26" spans="1:10">
      <c r="A26" s="11" t="s">
        <v>356</v>
      </c>
      <c r="B26" s="13">
        <v>2.7603714446465956E-2</v>
      </c>
      <c r="E26" s="11" t="s">
        <v>364</v>
      </c>
      <c r="F26" s="12">
        <v>1</v>
      </c>
      <c r="G26" s="12">
        <v>4</v>
      </c>
      <c r="H26" s="12">
        <v>1</v>
      </c>
      <c r="I26" s="12">
        <v>5</v>
      </c>
      <c r="J26" s="12">
        <v>11</v>
      </c>
    </row>
    <row r="27" spans="1:10">
      <c r="E27" s="11" t="s">
        <v>365</v>
      </c>
      <c r="F27" s="12">
        <v>1</v>
      </c>
      <c r="G27" s="12">
        <v>1</v>
      </c>
      <c r="H27" s="12">
        <v>2</v>
      </c>
      <c r="I27" s="12">
        <v>6</v>
      </c>
      <c r="J27" s="12">
        <v>10</v>
      </c>
    </row>
    <row r="28" spans="1:10">
      <c r="E28" s="11" t="s">
        <v>366</v>
      </c>
      <c r="F28" s="12">
        <v>1</v>
      </c>
      <c r="G28" s="12">
        <v>2</v>
      </c>
      <c r="H28" s="12">
        <v>2</v>
      </c>
      <c r="I28" s="12">
        <v>3</v>
      </c>
      <c r="J28" s="12">
        <v>8</v>
      </c>
    </row>
    <row r="29" spans="1:10">
      <c r="E29" s="11" t="s">
        <v>367</v>
      </c>
      <c r="F29" s="12">
        <v>1</v>
      </c>
      <c r="G29" s="12">
        <v>1</v>
      </c>
      <c r="H29" s="12">
        <v>4</v>
      </c>
      <c r="I29" s="12">
        <v>1</v>
      </c>
      <c r="J29" s="12">
        <v>7</v>
      </c>
    </row>
    <row r="30" spans="1:10">
      <c r="E30" s="11" t="s">
        <v>356</v>
      </c>
      <c r="F30" s="12">
        <v>8</v>
      </c>
      <c r="G30" s="12">
        <v>11</v>
      </c>
      <c r="H30" s="12">
        <v>15</v>
      </c>
      <c r="I30" s="12">
        <v>26</v>
      </c>
      <c r="J30" s="12">
        <v>60</v>
      </c>
    </row>
  </sheetData>
  <mergeCells count="5">
    <mergeCell ref="A2:B2"/>
    <mergeCell ref="E2:F2"/>
    <mergeCell ref="A20:B20"/>
    <mergeCell ref="K2:N2"/>
    <mergeCell ref="E20:J20"/>
  </mergeCells>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1"/>
  <sheetViews>
    <sheetView topLeftCell="A2" workbookViewId="0">
      <selection activeCell="G8" sqref="G8"/>
    </sheetView>
  </sheetViews>
  <sheetFormatPr defaultRowHeight="14.25"/>
  <cols>
    <col min="1" max="1" width="12" customWidth="1"/>
    <col min="2" max="5" width="18" customWidth="1"/>
    <col min="6" max="6" width="55" customWidth="1"/>
    <col min="7" max="8" width="20" customWidth="1"/>
    <col min="9" max="9" width="28" customWidth="1"/>
    <col min="10" max="11" width="17" customWidth="1"/>
    <col min="12" max="21" width="14" customWidth="1"/>
    <col min="22" max="23" width="18" customWidth="1"/>
    <col min="24" max="24" width="38" customWidth="1"/>
  </cols>
  <sheetData>
    <row r="1" spans="1:24" ht="30">
      <c r="A1" s="5" t="s">
        <v>9</v>
      </c>
      <c r="B1" s="5" t="s">
        <v>10</v>
      </c>
      <c r="C1" s="5" t="s">
        <v>11</v>
      </c>
      <c r="D1" s="5" t="s">
        <v>12</v>
      </c>
      <c r="E1" s="5" t="s">
        <v>13</v>
      </c>
      <c r="F1" s="5" t="s">
        <v>14</v>
      </c>
      <c r="G1" s="5" t="s">
        <v>15</v>
      </c>
      <c r="H1" s="5" t="s">
        <v>16</v>
      </c>
      <c r="I1" s="5" t="s">
        <v>17</v>
      </c>
      <c r="J1" s="5" t="s">
        <v>18</v>
      </c>
      <c r="K1" s="5" t="s">
        <v>19</v>
      </c>
      <c r="L1" s="5" t="s">
        <v>20</v>
      </c>
      <c r="M1" s="5" t="s">
        <v>21</v>
      </c>
      <c r="N1" s="5" t="s">
        <v>22</v>
      </c>
      <c r="O1" s="5" t="s">
        <v>23</v>
      </c>
      <c r="P1" s="5" t="s">
        <v>24</v>
      </c>
      <c r="Q1" s="5" t="s">
        <v>25</v>
      </c>
      <c r="R1" s="5" t="s">
        <v>26</v>
      </c>
      <c r="S1" s="5" t="s">
        <v>27</v>
      </c>
      <c r="T1" s="5" t="s">
        <v>28</v>
      </c>
      <c r="U1" s="5" t="s">
        <v>29</v>
      </c>
      <c r="V1" s="5" t="s">
        <v>30</v>
      </c>
      <c r="W1" s="5" t="s">
        <v>31</v>
      </c>
      <c r="X1" s="5" t="s">
        <v>32</v>
      </c>
    </row>
    <row r="2" spans="1:24" ht="42.75">
      <c r="A2" s="3" t="s">
        <v>33</v>
      </c>
      <c r="B2" s="6">
        <v>46127.378472222219</v>
      </c>
      <c r="C2" s="3" t="s">
        <v>34</v>
      </c>
      <c r="D2" s="3" t="s">
        <v>35</v>
      </c>
      <c r="E2" s="3" t="s">
        <v>36</v>
      </c>
      <c r="F2" s="3" t="s">
        <v>37</v>
      </c>
      <c r="G2" s="3" t="s">
        <v>38</v>
      </c>
      <c r="H2" s="3" t="s">
        <v>39</v>
      </c>
      <c r="I2" s="3" t="s">
        <v>40</v>
      </c>
      <c r="J2" s="3" t="s">
        <v>41</v>
      </c>
      <c r="K2" s="3" t="s">
        <v>42</v>
      </c>
      <c r="L2" s="7">
        <v>0.1</v>
      </c>
      <c r="M2" s="8">
        <v>842</v>
      </c>
      <c r="N2" s="8">
        <v>96</v>
      </c>
      <c r="O2" s="8">
        <v>310</v>
      </c>
      <c r="P2" s="8">
        <v>28</v>
      </c>
      <c r="Q2" s="8">
        <v>118000</v>
      </c>
      <c r="R2" s="8">
        <v>4200</v>
      </c>
      <c r="S2" s="8">
        <f t="shared" ref="S2:S33" si="0">SUM(M2:P2)+R2</f>
        <v>5476</v>
      </c>
      <c r="T2" s="9">
        <f t="shared" ref="T2:T33" si="1">IFERROR(S2/Q2,0)</f>
        <v>4.6406779661016952E-2</v>
      </c>
      <c r="U2" s="3" t="str">
        <f t="shared" ref="U2:U33" si="2">TEXT(B2,"dddd")</f>
        <v>Wednesday</v>
      </c>
      <c r="V2" s="3" t="s">
        <v>43</v>
      </c>
      <c r="W2" s="3" t="s">
        <v>41</v>
      </c>
      <c r="X2" s="3" t="s">
        <v>44</v>
      </c>
    </row>
    <row r="3" spans="1:24" ht="28.5">
      <c r="A3" s="3" t="s">
        <v>45</v>
      </c>
      <c r="B3" s="6">
        <v>46127.404166666667</v>
      </c>
      <c r="C3" s="3" t="s">
        <v>46</v>
      </c>
      <c r="D3" s="3" t="s">
        <v>47</v>
      </c>
      <c r="E3" s="3" t="s">
        <v>48</v>
      </c>
      <c r="F3" s="3" t="s">
        <v>49</v>
      </c>
      <c r="G3" s="3" t="s">
        <v>38</v>
      </c>
      <c r="H3" s="3" t="s">
        <v>50</v>
      </c>
      <c r="I3" s="3"/>
      <c r="J3" s="3" t="s">
        <v>51</v>
      </c>
      <c r="K3" s="3" t="s">
        <v>52</v>
      </c>
      <c r="L3" s="7">
        <v>0.7</v>
      </c>
      <c r="M3" s="8">
        <v>18</v>
      </c>
      <c r="N3" s="8">
        <v>3</v>
      </c>
      <c r="O3" s="8">
        <v>1</v>
      </c>
      <c r="P3" s="8">
        <v>0</v>
      </c>
      <c r="Q3" s="8">
        <v>920</v>
      </c>
      <c r="R3" s="8">
        <v>0</v>
      </c>
      <c r="S3" s="8">
        <f t="shared" si="0"/>
        <v>22</v>
      </c>
      <c r="T3" s="9">
        <f t="shared" si="1"/>
        <v>2.391304347826087E-2</v>
      </c>
      <c r="U3" s="3" t="str">
        <f t="shared" si="2"/>
        <v>Wednesday</v>
      </c>
      <c r="V3" s="3" t="s">
        <v>53</v>
      </c>
      <c r="W3" s="3" t="s">
        <v>41</v>
      </c>
      <c r="X3" s="3" t="s">
        <v>54</v>
      </c>
    </row>
    <row r="4" spans="1:24" ht="28.5">
      <c r="A4" s="3" t="s">
        <v>55</v>
      </c>
      <c r="B4" s="6">
        <v>46127.428472222222</v>
      </c>
      <c r="C4" s="3" t="s">
        <v>56</v>
      </c>
      <c r="D4" s="3" t="s">
        <v>47</v>
      </c>
      <c r="E4" s="3" t="s">
        <v>48</v>
      </c>
      <c r="F4" s="3" t="s">
        <v>57</v>
      </c>
      <c r="G4" s="3" t="s">
        <v>38</v>
      </c>
      <c r="H4" s="3" t="s">
        <v>50</v>
      </c>
      <c r="I4" s="3"/>
      <c r="J4" s="3" t="s">
        <v>51</v>
      </c>
      <c r="K4" s="3" t="s">
        <v>58</v>
      </c>
      <c r="L4" s="7">
        <v>-0.35</v>
      </c>
      <c r="M4" s="8">
        <v>6</v>
      </c>
      <c r="N4" s="8">
        <v>9</v>
      </c>
      <c r="O4" s="8">
        <v>0</v>
      </c>
      <c r="P4" s="8">
        <v>0</v>
      </c>
      <c r="Q4" s="8">
        <v>780</v>
      </c>
      <c r="R4" s="8">
        <v>0</v>
      </c>
      <c r="S4" s="8">
        <f t="shared" si="0"/>
        <v>15</v>
      </c>
      <c r="T4" s="9">
        <f t="shared" si="1"/>
        <v>1.9230769230769232E-2</v>
      </c>
      <c r="U4" s="3" t="str">
        <f t="shared" si="2"/>
        <v>Wednesday</v>
      </c>
      <c r="V4" s="3" t="s">
        <v>59</v>
      </c>
      <c r="W4" s="3" t="s">
        <v>51</v>
      </c>
      <c r="X4" s="3" t="s">
        <v>60</v>
      </c>
    </row>
    <row r="5" spans="1:24" ht="28.5">
      <c r="A5" s="3" t="s">
        <v>61</v>
      </c>
      <c r="B5" s="6">
        <v>46128.520833333336</v>
      </c>
      <c r="C5" s="3" t="s">
        <v>34</v>
      </c>
      <c r="D5" s="3" t="s">
        <v>35</v>
      </c>
      <c r="E5" s="3" t="s">
        <v>36</v>
      </c>
      <c r="F5" s="3" t="s">
        <v>62</v>
      </c>
      <c r="G5" s="3" t="s">
        <v>63</v>
      </c>
      <c r="H5" s="3" t="s">
        <v>39</v>
      </c>
      <c r="I5" s="3" t="s">
        <v>64</v>
      </c>
      <c r="J5" s="3" t="s">
        <v>41</v>
      </c>
      <c r="K5" s="3" t="s">
        <v>52</v>
      </c>
      <c r="L5" s="7">
        <v>0.57999999999999996</v>
      </c>
      <c r="M5" s="8">
        <v>620</v>
      </c>
      <c r="N5" s="8">
        <v>42</v>
      </c>
      <c r="O5" s="8">
        <v>128</v>
      </c>
      <c r="P5" s="8">
        <v>12</v>
      </c>
      <c r="Q5" s="8">
        <v>84200</v>
      </c>
      <c r="R5" s="8">
        <v>5100</v>
      </c>
      <c r="S5" s="8">
        <f t="shared" si="0"/>
        <v>5902</v>
      </c>
      <c r="T5" s="9">
        <f t="shared" si="1"/>
        <v>7.0095011876484564E-2</v>
      </c>
      <c r="U5" s="3" t="str">
        <f t="shared" si="2"/>
        <v>Thursday</v>
      </c>
      <c r="V5" s="3" t="s">
        <v>43</v>
      </c>
      <c r="W5" s="3" t="s">
        <v>41</v>
      </c>
      <c r="X5" s="3" t="s">
        <v>65</v>
      </c>
    </row>
    <row r="6" spans="1:24" ht="28.5">
      <c r="A6" s="3" t="s">
        <v>66</v>
      </c>
      <c r="B6" s="6">
        <v>46128.544444444444</v>
      </c>
      <c r="C6" s="3" t="s">
        <v>46</v>
      </c>
      <c r="D6" s="3" t="s">
        <v>47</v>
      </c>
      <c r="E6" s="3" t="s">
        <v>67</v>
      </c>
      <c r="F6" s="3" t="s">
        <v>68</v>
      </c>
      <c r="G6" s="3" t="s">
        <v>63</v>
      </c>
      <c r="H6" s="3" t="s">
        <v>50</v>
      </c>
      <c r="I6" s="3"/>
      <c r="J6" s="3" t="s">
        <v>51</v>
      </c>
      <c r="K6" s="3" t="s">
        <v>52</v>
      </c>
      <c r="L6" s="7">
        <v>0.62</v>
      </c>
      <c r="M6" s="8">
        <v>25</v>
      </c>
      <c r="N6" s="8">
        <v>2</v>
      </c>
      <c r="O6" s="8">
        <v>4</v>
      </c>
      <c r="P6" s="8">
        <v>0</v>
      </c>
      <c r="Q6" s="8">
        <v>1300</v>
      </c>
      <c r="R6" s="8">
        <v>0</v>
      </c>
      <c r="S6" s="8">
        <f t="shared" si="0"/>
        <v>31</v>
      </c>
      <c r="T6" s="9">
        <f t="shared" si="1"/>
        <v>2.3846153846153847E-2</v>
      </c>
      <c r="U6" s="3" t="str">
        <f t="shared" si="2"/>
        <v>Thursday</v>
      </c>
      <c r="V6" s="3" t="s">
        <v>69</v>
      </c>
      <c r="W6" s="3" t="s">
        <v>41</v>
      </c>
      <c r="X6" s="3" t="s">
        <v>70</v>
      </c>
    </row>
    <row r="7" spans="1:24" ht="28.5">
      <c r="A7" s="3" t="s">
        <v>71</v>
      </c>
      <c r="B7" s="6">
        <v>46129.368055555555</v>
      </c>
      <c r="C7" s="3" t="s">
        <v>56</v>
      </c>
      <c r="D7" s="3" t="s">
        <v>47</v>
      </c>
      <c r="E7" s="3" t="s">
        <v>48</v>
      </c>
      <c r="F7" s="3" t="s">
        <v>72</v>
      </c>
      <c r="G7" s="3" t="s">
        <v>73</v>
      </c>
      <c r="H7" s="3" t="s">
        <v>50</v>
      </c>
      <c r="I7" s="3"/>
      <c r="J7" s="3" t="s">
        <v>51</v>
      </c>
      <c r="K7" s="3" t="s">
        <v>58</v>
      </c>
      <c r="L7" s="7">
        <v>-0.82</v>
      </c>
      <c r="M7" s="8">
        <v>41</v>
      </c>
      <c r="N7" s="8">
        <v>18</v>
      </c>
      <c r="O7" s="8">
        <v>7</v>
      </c>
      <c r="P7" s="8">
        <v>1</v>
      </c>
      <c r="Q7" s="8">
        <v>4500</v>
      </c>
      <c r="R7" s="8">
        <v>0</v>
      </c>
      <c r="S7" s="8">
        <f t="shared" si="0"/>
        <v>67</v>
      </c>
      <c r="T7" s="9">
        <f t="shared" si="1"/>
        <v>1.4888888888888889E-2</v>
      </c>
      <c r="U7" s="3" t="str">
        <f t="shared" si="2"/>
        <v>Friday</v>
      </c>
      <c r="V7" s="3" t="s">
        <v>74</v>
      </c>
      <c r="W7" s="3" t="s">
        <v>51</v>
      </c>
      <c r="X7" s="3" t="s">
        <v>75</v>
      </c>
    </row>
    <row r="8" spans="1:24" ht="28.5">
      <c r="A8" s="3" t="s">
        <v>76</v>
      </c>
      <c r="B8" s="6">
        <v>46129.385416666664</v>
      </c>
      <c r="C8" s="3" t="s">
        <v>46</v>
      </c>
      <c r="D8" s="3" t="s">
        <v>35</v>
      </c>
      <c r="E8" s="3" t="s">
        <v>36</v>
      </c>
      <c r="F8" s="3" t="s">
        <v>77</v>
      </c>
      <c r="G8" s="3" t="s">
        <v>78</v>
      </c>
      <c r="H8" s="3" t="s">
        <v>50</v>
      </c>
      <c r="I8" s="3"/>
      <c r="J8" s="3" t="s">
        <v>51</v>
      </c>
      <c r="K8" s="3" t="s">
        <v>42</v>
      </c>
      <c r="L8" s="7">
        <v>0.05</v>
      </c>
      <c r="M8" s="8">
        <v>12</v>
      </c>
      <c r="N8" s="8">
        <v>5</v>
      </c>
      <c r="O8" s="8">
        <v>0</v>
      </c>
      <c r="P8" s="8">
        <v>0</v>
      </c>
      <c r="Q8" s="8">
        <v>2100</v>
      </c>
      <c r="R8" s="8">
        <v>0</v>
      </c>
      <c r="S8" s="8">
        <f t="shared" si="0"/>
        <v>17</v>
      </c>
      <c r="T8" s="9">
        <f t="shared" si="1"/>
        <v>8.0952380952380946E-3</v>
      </c>
      <c r="U8" s="3" t="str">
        <f t="shared" si="2"/>
        <v>Friday</v>
      </c>
      <c r="V8" s="3" t="s">
        <v>78</v>
      </c>
      <c r="W8" s="3" t="s">
        <v>41</v>
      </c>
      <c r="X8" s="3" t="s">
        <v>79</v>
      </c>
    </row>
    <row r="9" spans="1:24" ht="42.75">
      <c r="A9" s="3" t="s">
        <v>80</v>
      </c>
      <c r="B9" s="6">
        <v>46130.739583333336</v>
      </c>
      <c r="C9" s="3" t="s">
        <v>34</v>
      </c>
      <c r="D9" s="3" t="s">
        <v>35</v>
      </c>
      <c r="E9" s="3" t="s">
        <v>36</v>
      </c>
      <c r="F9" s="3" t="s">
        <v>81</v>
      </c>
      <c r="G9" s="3" t="s">
        <v>63</v>
      </c>
      <c r="H9" s="3" t="s">
        <v>82</v>
      </c>
      <c r="I9" s="3" t="s">
        <v>83</v>
      </c>
      <c r="J9" s="3" t="s">
        <v>41</v>
      </c>
      <c r="K9" s="3" t="s">
        <v>42</v>
      </c>
      <c r="L9" s="7">
        <v>0.22</v>
      </c>
      <c r="M9" s="8">
        <v>208</v>
      </c>
      <c r="N9" s="8">
        <v>19</v>
      </c>
      <c r="O9" s="8">
        <v>42</v>
      </c>
      <c r="P9" s="8">
        <v>5</v>
      </c>
      <c r="Q9" s="8">
        <v>61200</v>
      </c>
      <c r="R9" s="8">
        <v>390</v>
      </c>
      <c r="S9" s="8">
        <f t="shared" si="0"/>
        <v>664</v>
      </c>
      <c r="T9" s="9">
        <f t="shared" si="1"/>
        <v>1.0849673202614379E-2</v>
      </c>
      <c r="U9" s="3" t="str">
        <f t="shared" si="2"/>
        <v>Saturday</v>
      </c>
      <c r="V9" s="3" t="s">
        <v>43</v>
      </c>
      <c r="W9" s="3" t="s">
        <v>41</v>
      </c>
      <c r="X9" s="3" t="s">
        <v>84</v>
      </c>
    </row>
    <row r="10" spans="1:24" ht="28.5">
      <c r="A10" s="3" t="s">
        <v>85</v>
      </c>
      <c r="B10" s="6">
        <v>46131.472222222219</v>
      </c>
      <c r="C10" s="3" t="s">
        <v>56</v>
      </c>
      <c r="D10" s="3" t="s">
        <v>86</v>
      </c>
      <c r="E10" s="3" t="s">
        <v>67</v>
      </c>
      <c r="F10" s="3" t="s">
        <v>87</v>
      </c>
      <c r="G10" s="3" t="s">
        <v>88</v>
      </c>
      <c r="H10" s="3" t="s">
        <v>50</v>
      </c>
      <c r="I10" s="3"/>
      <c r="J10" s="3" t="s">
        <v>51</v>
      </c>
      <c r="K10" s="3" t="s">
        <v>52</v>
      </c>
      <c r="L10" s="7">
        <v>0.74</v>
      </c>
      <c r="M10" s="8">
        <v>53</v>
      </c>
      <c r="N10" s="8">
        <v>4</v>
      </c>
      <c r="O10" s="8">
        <v>8</v>
      </c>
      <c r="P10" s="8">
        <v>1</v>
      </c>
      <c r="Q10" s="8">
        <v>3900</v>
      </c>
      <c r="R10" s="8">
        <v>0</v>
      </c>
      <c r="S10" s="8">
        <f t="shared" si="0"/>
        <v>66</v>
      </c>
      <c r="T10" s="9">
        <f t="shared" si="1"/>
        <v>1.6923076923076923E-2</v>
      </c>
      <c r="U10" s="3" t="str">
        <f t="shared" si="2"/>
        <v>Sunday</v>
      </c>
      <c r="V10" s="3" t="s">
        <v>53</v>
      </c>
      <c r="W10" s="3" t="s">
        <v>41</v>
      </c>
      <c r="X10" s="3" t="s">
        <v>89</v>
      </c>
    </row>
    <row r="11" spans="1:24" ht="28.5">
      <c r="A11" s="3" t="s">
        <v>90</v>
      </c>
      <c r="B11" s="6">
        <v>46132.319444444445</v>
      </c>
      <c r="C11" s="3" t="s">
        <v>34</v>
      </c>
      <c r="D11" s="3" t="s">
        <v>35</v>
      </c>
      <c r="E11" s="3" t="s">
        <v>36</v>
      </c>
      <c r="F11" s="3" t="s">
        <v>91</v>
      </c>
      <c r="G11" s="3" t="s">
        <v>92</v>
      </c>
      <c r="H11" s="3" t="s">
        <v>50</v>
      </c>
      <c r="I11" s="3" t="s">
        <v>93</v>
      </c>
      <c r="J11" s="3" t="s">
        <v>41</v>
      </c>
      <c r="K11" s="3" t="s">
        <v>42</v>
      </c>
      <c r="L11" s="7">
        <v>0</v>
      </c>
      <c r="M11" s="8">
        <v>315</v>
      </c>
      <c r="N11" s="8">
        <v>88</v>
      </c>
      <c r="O11" s="8">
        <v>91</v>
      </c>
      <c r="P11" s="8">
        <v>19</v>
      </c>
      <c r="Q11" s="8">
        <v>96500</v>
      </c>
      <c r="R11" s="8">
        <v>800</v>
      </c>
      <c r="S11" s="8">
        <f t="shared" si="0"/>
        <v>1313</v>
      </c>
      <c r="T11" s="9">
        <f t="shared" si="1"/>
        <v>1.3606217616580311E-2</v>
      </c>
      <c r="U11" s="3" t="str">
        <f t="shared" si="2"/>
        <v>Monday</v>
      </c>
      <c r="V11" s="3" t="s">
        <v>94</v>
      </c>
      <c r="W11" s="3" t="s">
        <v>41</v>
      </c>
      <c r="X11" s="3" t="s">
        <v>95</v>
      </c>
    </row>
    <row r="12" spans="1:24" ht="28.5">
      <c r="A12" s="3" t="s">
        <v>96</v>
      </c>
      <c r="B12" s="6">
        <v>46132.341666666667</v>
      </c>
      <c r="C12" s="3" t="s">
        <v>46</v>
      </c>
      <c r="D12" s="3" t="s">
        <v>47</v>
      </c>
      <c r="E12" s="3" t="s">
        <v>48</v>
      </c>
      <c r="F12" s="3" t="s">
        <v>97</v>
      </c>
      <c r="G12" s="3" t="s">
        <v>92</v>
      </c>
      <c r="H12" s="3" t="s">
        <v>50</v>
      </c>
      <c r="I12" s="3"/>
      <c r="J12" s="3" t="s">
        <v>51</v>
      </c>
      <c r="K12" s="3" t="s">
        <v>52</v>
      </c>
      <c r="L12" s="7">
        <v>0.5</v>
      </c>
      <c r="M12" s="8">
        <v>14</v>
      </c>
      <c r="N12" s="8">
        <v>1</v>
      </c>
      <c r="O12" s="8">
        <v>2</v>
      </c>
      <c r="P12" s="8">
        <v>0</v>
      </c>
      <c r="Q12" s="8">
        <v>840</v>
      </c>
      <c r="R12" s="8">
        <v>0</v>
      </c>
      <c r="S12" s="8">
        <f t="shared" si="0"/>
        <v>17</v>
      </c>
      <c r="T12" s="9">
        <f t="shared" si="1"/>
        <v>2.0238095238095239E-2</v>
      </c>
      <c r="U12" s="3" t="str">
        <f t="shared" si="2"/>
        <v>Monday</v>
      </c>
      <c r="V12" s="3" t="s">
        <v>53</v>
      </c>
      <c r="W12" s="3" t="s">
        <v>41</v>
      </c>
      <c r="X12" s="3" t="s">
        <v>98</v>
      </c>
    </row>
    <row r="13" spans="1:24" ht="28.5">
      <c r="A13" s="3" t="s">
        <v>99</v>
      </c>
      <c r="B13" s="6">
        <v>46133.753472222219</v>
      </c>
      <c r="C13" s="3" t="s">
        <v>56</v>
      </c>
      <c r="D13" s="3" t="s">
        <v>47</v>
      </c>
      <c r="E13" s="3" t="s">
        <v>48</v>
      </c>
      <c r="F13" s="3" t="s">
        <v>100</v>
      </c>
      <c r="G13" s="3" t="s">
        <v>92</v>
      </c>
      <c r="H13" s="3" t="s">
        <v>50</v>
      </c>
      <c r="I13" s="3"/>
      <c r="J13" s="3" t="s">
        <v>51</v>
      </c>
      <c r="K13" s="3" t="s">
        <v>58</v>
      </c>
      <c r="L13" s="7">
        <v>-0.76</v>
      </c>
      <c r="M13" s="8">
        <v>33</v>
      </c>
      <c r="N13" s="8">
        <v>22</v>
      </c>
      <c r="O13" s="8">
        <v>4</v>
      </c>
      <c r="P13" s="8">
        <v>2</v>
      </c>
      <c r="Q13" s="8">
        <v>5200</v>
      </c>
      <c r="R13" s="8">
        <v>0</v>
      </c>
      <c r="S13" s="8">
        <f t="shared" si="0"/>
        <v>61</v>
      </c>
      <c r="T13" s="9">
        <f t="shared" si="1"/>
        <v>1.173076923076923E-2</v>
      </c>
      <c r="U13" s="3" t="str">
        <f t="shared" si="2"/>
        <v>Tuesday</v>
      </c>
      <c r="V13" s="3" t="s">
        <v>101</v>
      </c>
      <c r="W13" s="3" t="s">
        <v>51</v>
      </c>
      <c r="X13" s="3" t="s">
        <v>75</v>
      </c>
    </row>
    <row r="14" spans="1:24" ht="28.5">
      <c r="A14" s="3" t="s">
        <v>102</v>
      </c>
      <c r="B14" s="6">
        <v>46134.416666666664</v>
      </c>
      <c r="C14" s="3" t="s">
        <v>34</v>
      </c>
      <c r="D14" s="3" t="s">
        <v>35</v>
      </c>
      <c r="E14" s="3" t="s">
        <v>36</v>
      </c>
      <c r="F14" s="3" t="s">
        <v>103</v>
      </c>
      <c r="G14" s="3" t="s">
        <v>104</v>
      </c>
      <c r="H14" s="3" t="s">
        <v>105</v>
      </c>
      <c r="I14" s="3" t="s">
        <v>106</v>
      </c>
      <c r="J14" s="3" t="s">
        <v>41</v>
      </c>
      <c r="K14" s="3" t="s">
        <v>52</v>
      </c>
      <c r="L14" s="7">
        <v>0.46</v>
      </c>
      <c r="M14" s="8">
        <v>1100</v>
      </c>
      <c r="N14" s="8">
        <v>72</v>
      </c>
      <c r="O14" s="8">
        <v>405</v>
      </c>
      <c r="P14" s="8">
        <v>31</v>
      </c>
      <c r="Q14" s="8">
        <v>156000</v>
      </c>
      <c r="R14" s="8">
        <v>7400</v>
      </c>
      <c r="S14" s="8">
        <f t="shared" si="0"/>
        <v>9008</v>
      </c>
      <c r="T14" s="9">
        <f t="shared" si="1"/>
        <v>5.7743589743589743E-2</v>
      </c>
      <c r="U14" s="3" t="str">
        <f t="shared" si="2"/>
        <v>Wednesday</v>
      </c>
      <c r="V14" s="3" t="s">
        <v>43</v>
      </c>
      <c r="W14" s="3" t="s">
        <v>41</v>
      </c>
      <c r="X14" s="3" t="s">
        <v>107</v>
      </c>
    </row>
    <row r="15" spans="1:24" ht="28.5">
      <c r="A15" s="3" t="s">
        <v>108</v>
      </c>
      <c r="B15" s="6">
        <v>46134.432638888888</v>
      </c>
      <c r="C15" s="3" t="s">
        <v>109</v>
      </c>
      <c r="D15" s="3" t="s">
        <v>110</v>
      </c>
      <c r="E15" s="3" t="s">
        <v>111</v>
      </c>
      <c r="F15" s="3" t="s">
        <v>112</v>
      </c>
      <c r="G15" s="3" t="s">
        <v>104</v>
      </c>
      <c r="H15" s="3" t="s">
        <v>50</v>
      </c>
      <c r="I15" s="3" t="s">
        <v>113</v>
      </c>
      <c r="J15" s="3" t="s">
        <v>51</v>
      </c>
      <c r="K15" s="3" t="s">
        <v>52</v>
      </c>
      <c r="L15" s="7">
        <v>0.67</v>
      </c>
      <c r="M15" s="8">
        <v>96</v>
      </c>
      <c r="N15" s="8">
        <v>6</v>
      </c>
      <c r="O15" s="8">
        <v>31</v>
      </c>
      <c r="P15" s="8">
        <v>4</v>
      </c>
      <c r="Q15" s="8">
        <v>6700</v>
      </c>
      <c r="R15" s="8">
        <v>0</v>
      </c>
      <c r="S15" s="8">
        <f t="shared" si="0"/>
        <v>137</v>
      </c>
      <c r="T15" s="9">
        <f t="shared" si="1"/>
        <v>2.044776119402985E-2</v>
      </c>
      <c r="U15" s="3" t="str">
        <f t="shared" si="2"/>
        <v>Wednesday</v>
      </c>
      <c r="V15" s="3" t="s">
        <v>43</v>
      </c>
      <c r="W15" s="3" t="s">
        <v>41</v>
      </c>
      <c r="X15" s="3" t="s">
        <v>114</v>
      </c>
    </row>
    <row r="16" spans="1:24" ht="28.5">
      <c r="A16" s="3" t="s">
        <v>115</v>
      </c>
      <c r="B16" s="6">
        <v>46135.604166666664</v>
      </c>
      <c r="C16" s="3" t="s">
        <v>34</v>
      </c>
      <c r="D16" s="3" t="s">
        <v>35</v>
      </c>
      <c r="E16" s="3" t="s">
        <v>36</v>
      </c>
      <c r="F16" s="3" t="s">
        <v>116</v>
      </c>
      <c r="G16" s="3" t="s">
        <v>117</v>
      </c>
      <c r="H16" s="3" t="s">
        <v>39</v>
      </c>
      <c r="I16" s="3" t="s">
        <v>118</v>
      </c>
      <c r="J16" s="3" t="s">
        <v>41</v>
      </c>
      <c r="K16" s="3" t="s">
        <v>52</v>
      </c>
      <c r="L16" s="7">
        <v>0.63</v>
      </c>
      <c r="M16" s="8">
        <v>730</v>
      </c>
      <c r="N16" s="8">
        <v>51</v>
      </c>
      <c r="O16" s="8">
        <v>144</v>
      </c>
      <c r="P16" s="8">
        <v>11</v>
      </c>
      <c r="Q16" s="8">
        <v>102000</v>
      </c>
      <c r="R16" s="8">
        <v>2900</v>
      </c>
      <c r="S16" s="8">
        <f t="shared" si="0"/>
        <v>3836</v>
      </c>
      <c r="T16" s="9">
        <f t="shared" si="1"/>
        <v>3.7607843137254904E-2</v>
      </c>
      <c r="U16" s="3" t="str">
        <f t="shared" si="2"/>
        <v>Thursday</v>
      </c>
      <c r="V16" s="3" t="s">
        <v>119</v>
      </c>
      <c r="W16" s="3" t="s">
        <v>41</v>
      </c>
      <c r="X16" s="3" t="s">
        <v>120</v>
      </c>
    </row>
    <row r="17" spans="1:24" ht="28.5">
      <c r="A17" s="3" t="s">
        <v>121</v>
      </c>
      <c r="B17" s="6">
        <v>46135.629861111112</v>
      </c>
      <c r="C17" s="3" t="s">
        <v>46</v>
      </c>
      <c r="D17" s="3" t="s">
        <v>122</v>
      </c>
      <c r="E17" s="3" t="s">
        <v>67</v>
      </c>
      <c r="F17" s="3" t="s">
        <v>123</v>
      </c>
      <c r="G17" s="3" t="s">
        <v>117</v>
      </c>
      <c r="H17" s="3" t="s">
        <v>50</v>
      </c>
      <c r="I17" s="3"/>
      <c r="J17" s="3" t="s">
        <v>51</v>
      </c>
      <c r="K17" s="3" t="s">
        <v>52</v>
      </c>
      <c r="L17" s="7">
        <v>0.86</v>
      </c>
      <c r="M17" s="8">
        <v>64</v>
      </c>
      <c r="N17" s="8">
        <v>3</v>
      </c>
      <c r="O17" s="8">
        <v>13</v>
      </c>
      <c r="P17" s="8">
        <v>1</v>
      </c>
      <c r="Q17" s="8">
        <v>4200</v>
      </c>
      <c r="R17" s="8">
        <v>0</v>
      </c>
      <c r="S17" s="8">
        <f t="shared" si="0"/>
        <v>81</v>
      </c>
      <c r="T17" s="9">
        <f t="shared" si="1"/>
        <v>1.9285714285714285E-2</v>
      </c>
      <c r="U17" s="3" t="str">
        <f t="shared" si="2"/>
        <v>Thursday</v>
      </c>
      <c r="V17" s="3" t="s">
        <v>53</v>
      </c>
      <c r="W17" s="3" t="s">
        <v>41</v>
      </c>
      <c r="X17" s="3" t="s">
        <v>89</v>
      </c>
    </row>
    <row r="18" spans="1:24" ht="28.5">
      <c r="A18" s="3" t="s">
        <v>124</v>
      </c>
      <c r="B18" s="6">
        <v>46136.347222222219</v>
      </c>
      <c r="C18" s="3" t="s">
        <v>56</v>
      </c>
      <c r="D18" s="3" t="s">
        <v>47</v>
      </c>
      <c r="E18" s="3" t="s">
        <v>48</v>
      </c>
      <c r="F18" s="3" t="s">
        <v>125</v>
      </c>
      <c r="G18" s="3" t="s">
        <v>126</v>
      </c>
      <c r="H18" s="3" t="s">
        <v>50</v>
      </c>
      <c r="I18" s="3"/>
      <c r="J18" s="3" t="s">
        <v>51</v>
      </c>
      <c r="K18" s="3" t="s">
        <v>58</v>
      </c>
      <c r="L18" s="7">
        <v>-0.7</v>
      </c>
      <c r="M18" s="8">
        <v>28</v>
      </c>
      <c r="N18" s="8">
        <v>12</v>
      </c>
      <c r="O18" s="8">
        <v>3</v>
      </c>
      <c r="P18" s="8">
        <v>1</v>
      </c>
      <c r="Q18" s="8">
        <v>3100</v>
      </c>
      <c r="R18" s="8">
        <v>0</v>
      </c>
      <c r="S18" s="8">
        <f t="shared" si="0"/>
        <v>44</v>
      </c>
      <c r="T18" s="9">
        <f t="shared" si="1"/>
        <v>1.4193548387096775E-2</v>
      </c>
      <c r="U18" s="3" t="str">
        <f t="shared" si="2"/>
        <v>Friday</v>
      </c>
      <c r="V18" s="3" t="s">
        <v>74</v>
      </c>
      <c r="W18" s="3" t="s">
        <v>51</v>
      </c>
      <c r="X18" s="3" t="s">
        <v>127</v>
      </c>
    </row>
    <row r="19" spans="1:24" ht="28.5">
      <c r="A19" s="3" t="s">
        <v>128</v>
      </c>
      <c r="B19" s="6">
        <v>46137.673611111109</v>
      </c>
      <c r="C19" s="3" t="s">
        <v>34</v>
      </c>
      <c r="D19" s="3" t="s">
        <v>35</v>
      </c>
      <c r="E19" s="3" t="s">
        <v>36</v>
      </c>
      <c r="F19" s="3" t="s">
        <v>129</v>
      </c>
      <c r="G19" s="3" t="s">
        <v>130</v>
      </c>
      <c r="H19" s="3" t="s">
        <v>82</v>
      </c>
      <c r="I19" s="3" t="s">
        <v>131</v>
      </c>
      <c r="J19" s="3" t="s">
        <v>41</v>
      </c>
      <c r="K19" s="3" t="s">
        <v>42</v>
      </c>
      <c r="L19" s="7">
        <v>0.24</v>
      </c>
      <c r="M19" s="8">
        <v>260</v>
      </c>
      <c r="N19" s="8">
        <v>34</v>
      </c>
      <c r="O19" s="8">
        <v>49</v>
      </c>
      <c r="P19" s="8">
        <v>7</v>
      </c>
      <c r="Q19" s="8">
        <v>74400</v>
      </c>
      <c r="R19" s="8">
        <v>1650</v>
      </c>
      <c r="S19" s="8">
        <f t="shared" si="0"/>
        <v>2000</v>
      </c>
      <c r="T19" s="9">
        <f t="shared" si="1"/>
        <v>2.6881720430107527E-2</v>
      </c>
      <c r="U19" s="3" t="str">
        <f t="shared" si="2"/>
        <v>Saturday</v>
      </c>
      <c r="V19" s="3" t="s">
        <v>43</v>
      </c>
      <c r="W19" s="3" t="s">
        <v>41</v>
      </c>
      <c r="X19" s="3" t="s">
        <v>84</v>
      </c>
    </row>
    <row r="20" spans="1:24" ht="28.5">
      <c r="A20" s="3" t="s">
        <v>132</v>
      </c>
      <c r="B20" s="6">
        <v>46137.723611111112</v>
      </c>
      <c r="C20" s="3" t="s">
        <v>46</v>
      </c>
      <c r="D20" s="3" t="s">
        <v>47</v>
      </c>
      <c r="E20" s="3" t="s">
        <v>48</v>
      </c>
      <c r="F20" s="3" t="s">
        <v>133</v>
      </c>
      <c r="G20" s="3" t="s">
        <v>130</v>
      </c>
      <c r="H20" s="3" t="s">
        <v>50</v>
      </c>
      <c r="I20" s="3"/>
      <c r="J20" s="3" t="s">
        <v>51</v>
      </c>
      <c r="K20" s="3" t="s">
        <v>42</v>
      </c>
      <c r="L20" s="7">
        <v>0.05</v>
      </c>
      <c r="M20" s="8">
        <v>9</v>
      </c>
      <c r="N20" s="8">
        <v>4</v>
      </c>
      <c r="O20" s="8">
        <v>1</v>
      </c>
      <c r="P20" s="8">
        <v>0</v>
      </c>
      <c r="Q20" s="8">
        <v>1050</v>
      </c>
      <c r="R20" s="8">
        <v>0</v>
      </c>
      <c r="S20" s="8">
        <f t="shared" si="0"/>
        <v>14</v>
      </c>
      <c r="T20" s="9">
        <f t="shared" si="1"/>
        <v>1.3333333333333334E-2</v>
      </c>
      <c r="U20" s="3" t="str">
        <f t="shared" si="2"/>
        <v>Saturday</v>
      </c>
      <c r="V20" s="3" t="s">
        <v>101</v>
      </c>
      <c r="W20" s="3" t="s">
        <v>51</v>
      </c>
      <c r="X20" s="3" t="s">
        <v>98</v>
      </c>
    </row>
    <row r="21" spans="1:24" ht="28.5">
      <c r="A21" s="3" t="s">
        <v>134</v>
      </c>
      <c r="B21" s="6">
        <v>46138.375</v>
      </c>
      <c r="C21" s="3" t="s">
        <v>34</v>
      </c>
      <c r="D21" s="3" t="s">
        <v>35</v>
      </c>
      <c r="E21" s="3" t="s">
        <v>36</v>
      </c>
      <c r="F21" s="3" t="s">
        <v>135</v>
      </c>
      <c r="G21" s="3" t="s">
        <v>88</v>
      </c>
      <c r="H21" s="3" t="s">
        <v>82</v>
      </c>
      <c r="I21" s="3" t="s">
        <v>136</v>
      </c>
      <c r="J21" s="3" t="s">
        <v>41</v>
      </c>
      <c r="K21" s="3" t="s">
        <v>52</v>
      </c>
      <c r="L21" s="7">
        <v>0.48</v>
      </c>
      <c r="M21" s="8">
        <v>188</v>
      </c>
      <c r="N21" s="8">
        <v>17</v>
      </c>
      <c r="O21" s="8">
        <v>66</v>
      </c>
      <c r="P21" s="8">
        <v>3</v>
      </c>
      <c r="Q21" s="8">
        <v>54300</v>
      </c>
      <c r="R21" s="8">
        <v>2300</v>
      </c>
      <c r="S21" s="8">
        <f t="shared" si="0"/>
        <v>2574</v>
      </c>
      <c r="T21" s="9">
        <f t="shared" si="1"/>
        <v>4.7403314917127071E-2</v>
      </c>
      <c r="U21" s="3" t="str">
        <f t="shared" si="2"/>
        <v>Sunday</v>
      </c>
      <c r="V21" s="3" t="s">
        <v>119</v>
      </c>
      <c r="W21" s="3" t="s">
        <v>41</v>
      </c>
      <c r="X21" s="3" t="s">
        <v>84</v>
      </c>
    </row>
    <row r="22" spans="1:24" ht="28.5">
      <c r="A22" s="3" t="s">
        <v>137</v>
      </c>
      <c r="B22" s="6">
        <v>46139.329861111109</v>
      </c>
      <c r="C22" s="3" t="s">
        <v>56</v>
      </c>
      <c r="D22" s="3" t="s">
        <v>86</v>
      </c>
      <c r="E22" s="3" t="s">
        <v>67</v>
      </c>
      <c r="F22" s="3" t="s">
        <v>138</v>
      </c>
      <c r="G22" s="3" t="s">
        <v>88</v>
      </c>
      <c r="H22" s="3" t="s">
        <v>50</v>
      </c>
      <c r="I22" s="3" t="s">
        <v>139</v>
      </c>
      <c r="J22" s="3" t="s">
        <v>51</v>
      </c>
      <c r="K22" s="3" t="s">
        <v>140</v>
      </c>
      <c r="L22" s="7">
        <v>0.12</v>
      </c>
      <c r="M22" s="8">
        <v>22</v>
      </c>
      <c r="N22" s="8">
        <v>5</v>
      </c>
      <c r="O22" s="8">
        <v>4</v>
      </c>
      <c r="P22" s="8">
        <v>0</v>
      </c>
      <c r="Q22" s="8">
        <v>1700</v>
      </c>
      <c r="R22" s="8">
        <v>0</v>
      </c>
      <c r="S22" s="8">
        <f t="shared" si="0"/>
        <v>31</v>
      </c>
      <c r="T22" s="9">
        <f t="shared" si="1"/>
        <v>1.8235294117647058E-2</v>
      </c>
      <c r="U22" s="3" t="str">
        <f t="shared" si="2"/>
        <v>Monday</v>
      </c>
      <c r="V22" s="3" t="s">
        <v>69</v>
      </c>
      <c r="W22" s="3" t="s">
        <v>41</v>
      </c>
      <c r="X22" s="3" t="s">
        <v>141</v>
      </c>
    </row>
    <row r="23" spans="1:24" ht="28.5">
      <c r="A23" s="3" t="s">
        <v>142</v>
      </c>
      <c r="B23" s="6">
        <v>46140.510416666664</v>
      </c>
      <c r="C23" s="3" t="s">
        <v>34</v>
      </c>
      <c r="D23" s="3" t="s">
        <v>35</v>
      </c>
      <c r="E23" s="3" t="s">
        <v>36</v>
      </c>
      <c r="F23" s="3" t="s">
        <v>143</v>
      </c>
      <c r="G23" s="3" t="s">
        <v>73</v>
      </c>
      <c r="H23" s="3" t="s">
        <v>39</v>
      </c>
      <c r="I23" s="3" t="s">
        <v>144</v>
      </c>
      <c r="J23" s="3" t="s">
        <v>41</v>
      </c>
      <c r="K23" s="3" t="s">
        <v>52</v>
      </c>
      <c r="L23" s="7">
        <v>0.55000000000000004</v>
      </c>
      <c r="M23" s="8">
        <v>980</v>
      </c>
      <c r="N23" s="8">
        <v>104</v>
      </c>
      <c r="O23" s="8">
        <v>218</v>
      </c>
      <c r="P23" s="8">
        <v>26</v>
      </c>
      <c r="Q23" s="8">
        <v>142500</v>
      </c>
      <c r="R23" s="8">
        <v>6100</v>
      </c>
      <c r="S23" s="8">
        <f t="shared" si="0"/>
        <v>7428</v>
      </c>
      <c r="T23" s="9">
        <f t="shared" si="1"/>
        <v>5.2126315789473687E-2</v>
      </c>
      <c r="U23" s="3" t="str">
        <f t="shared" si="2"/>
        <v>Tuesday</v>
      </c>
      <c r="V23" s="3" t="s">
        <v>145</v>
      </c>
      <c r="W23" s="3" t="s">
        <v>41</v>
      </c>
      <c r="X23" s="3" t="s">
        <v>146</v>
      </c>
    </row>
    <row r="24" spans="1:24" ht="28.5">
      <c r="A24" s="3" t="s">
        <v>147</v>
      </c>
      <c r="B24" s="6">
        <v>46140.532638888886</v>
      </c>
      <c r="C24" s="3" t="s">
        <v>46</v>
      </c>
      <c r="D24" s="3" t="s">
        <v>47</v>
      </c>
      <c r="E24" s="3" t="s">
        <v>48</v>
      </c>
      <c r="F24" s="3" t="s">
        <v>148</v>
      </c>
      <c r="G24" s="3" t="s">
        <v>73</v>
      </c>
      <c r="H24" s="3" t="s">
        <v>50</v>
      </c>
      <c r="I24" s="3"/>
      <c r="J24" s="3" t="s">
        <v>51</v>
      </c>
      <c r="K24" s="3" t="s">
        <v>52</v>
      </c>
      <c r="L24" s="7">
        <v>0.64</v>
      </c>
      <c r="M24" s="8">
        <v>31</v>
      </c>
      <c r="N24" s="8">
        <v>2</v>
      </c>
      <c r="O24" s="8">
        <v>3</v>
      </c>
      <c r="P24" s="8">
        <v>0</v>
      </c>
      <c r="Q24" s="8">
        <v>1800</v>
      </c>
      <c r="R24" s="8">
        <v>0</v>
      </c>
      <c r="S24" s="8">
        <f t="shared" si="0"/>
        <v>36</v>
      </c>
      <c r="T24" s="9">
        <f t="shared" si="1"/>
        <v>0.02</v>
      </c>
      <c r="U24" s="3" t="str">
        <f t="shared" si="2"/>
        <v>Tuesday</v>
      </c>
      <c r="V24" s="3" t="s">
        <v>53</v>
      </c>
      <c r="W24" s="3" t="s">
        <v>41</v>
      </c>
      <c r="X24" s="3" t="s">
        <v>98</v>
      </c>
    </row>
    <row r="25" spans="1:24" ht="28.5">
      <c r="A25" s="3" t="s">
        <v>149</v>
      </c>
      <c r="B25" s="6">
        <v>46140.545138888891</v>
      </c>
      <c r="C25" s="3" t="s">
        <v>46</v>
      </c>
      <c r="D25" s="3" t="s">
        <v>47</v>
      </c>
      <c r="E25" s="3" t="s">
        <v>48</v>
      </c>
      <c r="F25" s="3" t="s">
        <v>150</v>
      </c>
      <c r="G25" s="3" t="s">
        <v>73</v>
      </c>
      <c r="H25" s="3" t="s">
        <v>50</v>
      </c>
      <c r="I25" s="3"/>
      <c r="J25" s="3" t="s">
        <v>51</v>
      </c>
      <c r="K25" s="3" t="s">
        <v>140</v>
      </c>
      <c r="L25" s="7">
        <v>0.08</v>
      </c>
      <c r="M25" s="8">
        <v>44</v>
      </c>
      <c r="N25" s="8">
        <v>7</v>
      </c>
      <c r="O25" s="8">
        <v>5</v>
      </c>
      <c r="P25" s="8">
        <v>1</v>
      </c>
      <c r="Q25" s="8">
        <v>2600</v>
      </c>
      <c r="R25" s="8">
        <v>0</v>
      </c>
      <c r="S25" s="8">
        <f t="shared" si="0"/>
        <v>57</v>
      </c>
      <c r="T25" s="9">
        <f t="shared" si="1"/>
        <v>2.1923076923076924E-2</v>
      </c>
      <c r="U25" s="3" t="str">
        <f t="shared" si="2"/>
        <v>Tuesday</v>
      </c>
      <c r="V25" s="3" t="s">
        <v>69</v>
      </c>
      <c r="W25" s="3" t="s">
        <v>41</v>
      </c>
      <c r="X25" s="3" t="s">
        <v>70</v>
      </c>
    </row>
    <row r="26" spans="1:24" ht="28.5">
      <c r="A26" s="3" t="s">
        <v>151</v>
      </c>
      <c r="B26" s="6">
        <v>46141.8125</v>
      </c>
      <c r="C26" s="3" t="s">
        <v>56</v>
      </c>
      <c r="D26" s="3" t="s">
        <v>47</v>
      </c>
      <c r="E26" s="3" t="s">
        <v>48</v>
      </c>
      <c r="F26" s="3" t="s">
        <v>152</v>
      </c>
      <c r="G26" s="3" t="s">
        <v>126</v>
      </c>
      <c r="H26" s="3" t="s">
        <v>50</v>
      </c>
      <c r="I26" s="3"/>
      <c r="J26" s="3" t="s">
        <v>51</v>
      </c>
      <c r="K26" s="3" t="s">
        <v>58</v>
      </c>
      <c r="L26" s="7">
        <v>-0.57999999999999996</v>
      </c>
      <c r="M26" s="8">
        <v>12</v>
      </c>
      <c r="N26" s="8">
        <v>8</v>
      </c>
      <c r="O26" s="8">
        <v>1</v>
      </c>
      <c r="P26" s="8">
        <v>0</v>
      </c>
      <c r="Q26" s="8">
        <v>1400</v>
      </c>
      <c r="R26" s="8">
        <v>0</v>
      </c>
      <c r="S26" s="8">
        <f t="shared" si="0"/>
        <v>21</v>
      </c>
      <c r="T26" s="9">
        <f t="shared" si="1"/>
        <v>1.4999999999999999E-2</v>
      </c>
      <c r="U26" s="3" t="str">
        <f t="shared" si="2"/>
        <v>Wednesday</v>
      </c>
      <c r="V26" s="3" t="s">
        <v>101</v>
      </c>
      <c r="W26" s="3" t="s">
        <v>51</v>
      </c>
      <c r="X26" s="3" t="s">
        <v>75</v>
      </c>
    </row>
    <row r="27" spans="1:24" ht="28.5">
      <c r="A27" s="3" t="s">
        <v>153</v>
      </c>
      <c r="B27" s="6">
        <v>46143.378472222219</v>
      </c>
      <c r="C27" s="3" t="s">
        <v>34</v>
      </c>
      <c r="D27" s="3" t="s">
        <v>35</v>
      </c>
      <c r="E27" s="3" t="s">
        <v>36</v>
      </c>
      <c r="F27" s="3" t="s">
        <v>154</v>
      </c>
      <c r="G27" s="3" t="s">
        <v>63</v>
      </c>
      <c r="H27" s="3" t="s">
        <v>39</v>
      </c>
      <c r="I27" s="3" t="s">
        <v>155</v>
      </c>
      <c r="J27" s="3" t="s">
        <v>41</v>
      </c>
      <c r="K27" s="3" t="s">
        <v>52</v>
      </c>
      <c r="L27" s="7">
        <v>0.51</v>
      </c>
      <c r="M27" s="8">
        <v>760</v>
      </c>
      <c r="N27" s="8">
        <v>38</v>
      </c>
      <c r="O27" s="8">
        <v>160</v>
      </c>
      <c r="P27" s="8">
        <v>13</v>
      </c>
      <c r="Q27" s="8">
        <v>100400</v>
      </c>
      <c r="R27" s="8">
        <v>4800</v>
      </c>
      <c r="S27" s="8">
        <f t="shared" si="0"/>
        <v>5771</v>
      </c>
      <c r="T27" s="9">
        <f t="shared" si="1"/>
        <v>5.7480079681274901E-2</v>
      </c>
      <c r="U27" s="3" t="str">
        <f t="shared" si="2"/>
        <v>Friday</v>
      </c>
      <c r="V27" s="3" t="s">
        <v>43</v>
      </c>
      <c r="W27" s="3" t="s">
        <v>41</v>
      </c>
      <c r="X27" s="3" t="s">
        <v>95</v>
      </c>
    </row>
    <row r="28" spans="1:24" ht="28.5">
      <c r="A28" s="3" t="s">
        <v>156</v>
      </c>
      <c r="B28" s="6">
        <v>46144.425000000003</v>
      </c>
      <c r="C28" s="3" t="s">
        <v>56</v>
      </c>
      <c r="D28" s="3" t="s">
        <v>47</v>
      </c>
      <c r="E28" s="3" t="s">
        <v>67</v>
      </c>
      <c r="F28" s="3" t="s">
        <v>157</v>
      </c>
      <c r="G28" s="3" t="s">
        <v>73</v>
      </c>
      <c r="H28" s="3" t="s">
        <v>50</v>
      </c>
      <c r="I28" s="3"/>
      <c r="J28" s="3" t="s">
        <v>51</v>
      </c>
      <c r="K28" s="3" t="s">
        <v>140</v>
      </c>
      <c r="L28" s="7">
        <v>-0.05</v>
      </c>
      <c r="M28" s="8">
        <v>105</v>
      </c>
      <c r="N28" s="8">
        <v>11</v>
      </c>
      <c r="O28" s="8">
        <v>14</v>
      </c>
      <c r="P28" s="8">
        <v>2</v>
      </c>
      <c r="Q28" s="8">
        <v>9800</v>
      </c>
      <c r="R28" s="8">
        <v>0</v>
      </c>
      <c r="S28" s="8">
        <f t="shared" si="0"/>
        <v>132</v>
      </c>
      <c r="T28" s="9">
        <f t="shared" si="1"/>
        <v>1.3469387755102041E-2</v>
      </c>
      <c r="U28" s="3" t="str">
        <f t="shared" si="2"/>
        <v>Saturday</v>
      </c>
      <c r="V28" s="3" t="s">
        <v>69</v>
      </c>
      <c r="W28" s="3" t="s">
        <v>41</v>
      </c>
      <c r="X28" s="3" t="s">
        <v>127</v>
      </c>
    </row>
    <row r="29" spans="1:24" ht="28.5">
      <c r="A29" s="3" t="s">
        <v>158</v>
      </c>
      <c r="B29" s="6">
        <v>46145.555555555555</v>
      </c>
      <c r="C29" s="3" t="s">
        <v>34</v>
      </c>
      <c r="D29" s="3" t="s">
        <v>35</v>
      </c>
      <c r="E29" s="3" t="s">
        <v>36</v>
      </c>
      <c r="F29" s="3" t="s">
        <v>159</v>
      </c>
      <c r="G29" s="3" t="s">
        <v>38</v>
      </c>
      <c r="H29" s="3" t="s">
        <v>105</v>
      </c>
      <c r="I29" s="3" t="s">
        <v>160</v>
      </c>
      <c r="J29" s="3" t="s">
        <v>41</v>
      </c>
      <c r="K29" s="3" t="s">
        <v>42</v>
      </c>
      <c r="L29" s="7">
        <v>0.2</v>
      </c>
      <c r="M29" s="8">
        <v>520</v>
      </c>
      <c r="N29" s="8">
        <v>44</v>
      </c>
      <c r="O29" s="8">
        <v>205</v>
      </c>
      <c r="P29" s="8">
        <v>15</v>
      </c>
      <c r="Q29" s="8">
        <v>132000</v>
      </c>
      <c r="R29" s="8">
        <v>6900</v>
      </c>
      <c r="S29" s="8">
        <f t="shared" si="0"/>
        <v>7684</v>
      </c>
      <c r="T29" s="9">
        <f t="shared" si="1"/>
        <v>5.8212121212121215E-2</v>
      </c>
      <c r="U29" s="3" t="str">
        <f t="shared" si="2"/>
        <v>Sunday</v>
      </c>
      <c r="V29" s="3" t="s">
        <v>43</v>
      </c>
      <c r="W29" s="3" t="s">
        <v>41</v>
      </c>
      <c r="X29" s="3" t="s">
        <v>107</v>
      </c>
    </row>
    <row r="30" spans="1:24" ht="28.5">
      <c r="A30" s="3" t="s">
        <v>161</v>
      </c>
      <c r="B30" s="6">
        <v>46145.588888888888</v>
      </c>
      <c r="C30" s="3" t="s">
        <v>46</v>
      </c>
      <c r="D30" s="3" t="s">
        <v>47</v>
      </c>
      <c r="E30" s="3" t="s">
        <v>48</v>
      </c>
      <c r="F30" s="3" t="s">
        <v>162</v>
      </c>
      <c r="G30" s="3" t="s">
        <v>38</v>
      </c>
      <c r="H30" s="3" t="s">
        <v>50</v>
      </c>
      <c r="I30" s="3"/>
      <c r="J30" s="3" t="s">
        <v>51</v>
      </c>
      <c r="K30" s="3" t="s">
        <v>140</v>
      </c>
      <c r="L30" s="7">
        <v>-0.1</v>
      </c>
      <c r="M30" s="8">
        <v>21</v>
      </c>
      <c r="N30" s="8">
        <v>3</v>
      </c>
      <c r="O30" s="8">
        <v>2</v>
      </c>
      <c r="P30" s="8">
        <v>0</v>
      </c>
      <c r="Q30" s="8">
        <v>1150</v>
      </c>
      <c r="R30" s="8">
        <v>0</v>
      </c>
      <c r="S30" s="8">
        <f t="shared" si="0"/>
        <v>26</v>
      </c>
      <c r="T30" s="9">
        <f t="shared" si="1"/>
        <v>2.2608695652173914E-2</v>
      </c>
      <c r="U30" s="3" t="str">
        <f t="shared" si="2"/>
        <v>Sunday</v>
      </c>
      <c r="V30" s="3" t="s">
        <v>69</v>
      </c>
      <c r="W30" s="3" t="s">
        <v>41</v>
      </c>
      <c r="X30" s="3" t="s">
        <v>98</v>
      </c>
    </row>
    <row r="31" spans="1:24" ht="28.5">
      <c r="A31" s="3" t="s">
        <v>163</v>
      </c>
      <c r="B31" s="6">
        <v>46146.364583333336</v>
      </c>
      <c r="C31" s="3" t="s">
        <v>56</v>
      </c>
      <c r="D31" s="3" t="s">
        <v>47</v>
      </c>
      <c r="E31" s="3" t="s">
        <v>48</v>
      </c>
      <c r="F31" s="3" t="s">
        <v>164</v>
      </c>
      <c r="G31" s="3" t="s">
        <v>73</v>
      </c>
      <c r="H31" s="3" t="s">
        <v>50</v>
      </c>
      <c r="I31" s="3"/>
      <c r="J31" s="3" t="s">
        <v>51</v>
      </c>
      <c r="K31" s="3" t="s">
        <v>58</v>
      </c>
      <c r="L31" s="7">
        <v>-0.69</v>
      </c>
      <c r="M31" s="8">
        <v>39</v>
      </c>
      <c r="N31" s="8">
        <v>15</v>
      </c>
      <c r="O31" s="8">
        <v>4</v>
      </c>
      <c r="P31" s="8">
        <v>1</v>
      </c>
      <c r="Q31" s="8">
        <v>4300</v>
      </c>
      <c r="R31" s="8">
        <v>0</v>
      </c>
      <c r="S31" s="8">
        <f t="shared" si="0"/>
        <v>59</v>
      </c>
      <c r="T31" s="9">
        <f t="shared" si="1"/>
        <v>1.372093023255814E-2</v>
      </c>
      <c r="U31" s="3" t="str">
        <f t="shared" si="2"/>
        <v>Monday</v>
      </c>
      <c r="V31" s="3" t="s">
        <v>74</v>
      </c>
      <c r="W31" s="3" t="s">
        <v>51</v>
      </c>
      <c r="X31" s="3" t="s">
        <v>127</v>
      </c>
    </row>
    <row r="32" spans="1:24" ht="28.5">
      <c r="A32" s="3" t="s">
        <v>165</v>
      </c>
      <c r="B32" s="6">
        <v>46147.458333333336</v>
      </c>
      <c r="C32" s="3" t="s">
        <v>34</v>
      </c>
      <c r="D32" s="3" t="s">
        <v>35</v>
      </c>
      <c r="E32" s="3" t="s">
        <v>36</v>
      </c>
      <c r="F32" s="3" t="s">
        <v>166</v>
      </c>
      <c r="G32" s="3" t="s">
        <v>38</v>
      </c>
      <c r="H32" s="3" t="s">
        <v>82</v>
      </c>
      <c r="I32" s="3" t="s">
        <v>167</v>
      </c>
      <c r="J32" s="3" t="s">
        <v>41</v>
      </c>
      <c r="K32" s="3" t="s">
        <v>52</v>
      </c>
      <c r="L32" s="7">
        <v>0.42</v>
      </c>
      <c r="M32" s="8">
        <v>900</v>
      </c>
      <c r="N32" s="8">
        <v>82</v>
      </c>
      <c r="O32" s="8">
        <v>360</v>
      </c>
      <c r="P32" s="8">
        <v>33</v>
      </c>
      <c r="Q32" s="8">
        <v>170000</v>
      </c>
      <c r="R32" s="8">
        <v>8900</v>
      </c>
      <c r="S32" s="8">
        <f t="shared" si="0"/>
        <v>10275</v>
      </c>
      <c r="T32" s="9">
        <f t="shared" si="1"/>
        <v>6.0441176470588234E-2</v>
      </c>
      <c r="U32" s="3" t="str">
        <f t="shared" si="2"/>
        <v>Tuesday</v>
      </c>
      <c r="V32" s="3" t="s">
        <v>43</v>
      </c>
      <c r="W32" s="3" t="s">
        <v>41</v>
      </c>
      <c r="X32" s="3" t="s">
        <v>84</v>
      </c>
    </row>
    <row r="33" spans="1:24" ht="28.5">
      <c r="A33" s="3" t="s">
        <v>168</v>
      </c>
      <c r="B33" s="6">
        <v>46147.501388888886</v>
      </c>
      <c r="C33" s="3" t="s">
        <v>109</v>
      </c>
      <c r="D33" s="3" t="s">
        <v>169</v>
      </c>
      <c r="E33" s="3" t="s">
        <v>36</v>
      </c>
      <c r="F33" s="3" t="s">
        <v>170</v>
      </c>
      <c r="G33" s="3" t="s">
        <v>38</v>
      </c>
      <c r="H33" s="3" t="s">
        <v>50</v>
      </c>
      <c r="I33" s="3" t="s">
        <v>113</v>
      </c>
      <c r="J33" s="3" t="s">
        <v>51</v>
      </c>
      <c r="K33" s="3" t="s">
        <v>52</v>
      </c>
      <c r="L33" s="7">
        <v>0.45</v>
      </c>
      <c r="M33" s="8">
        <v>230</v>
      </c>
      <c r="N33" s="8">
        <v>18</v>
      </c>
      <c r="O33" s="8">
        <v>71</v>
      </c>
      <c r="P33" s="8">
        <v>9</v>
      </c>
      <c r="Q33" s="8">
        <v>31000</v>
      </c>
      <c r="R33" s="8">
        <v>0</v>
      </c>
      <c r="S33" s="8">
        <f t="shared" si="0"/>
        <v>328</v>
      </c>
      <c r="T33" s="9">
        <f t="shared" si="1"/>
        <v>1.0580645161290323E-2</v>
      </c>
      <c r="U33" s="3" t="str">
        <f t="shared" si="2"/>
        <v>Tuesday</v>
      </c>
      <c r="V33" s="3" t="s">
        <v>94</v>
      </c>
      <c r="W33" s="3" t="s">
        <v>41</v>
      </c>
      <c r="X33" s="3" t="s">
        <v>70</v>
      </c>
    </row>
    <row r="34" spans="1:24" ht="28.5">
      <c r="A34" s="3" t="s">
        <v>171</v>
      </c>
      <c r="B34" s="6">
        <v>46148.690972222219</v>
      </c>
      <c r="C34" s="3" t="s">
        <v>34</v>
      </c>
      <c r="D34" s="3" t="s">
        <v>35</v>
      </c>
      <c r="E34" s="3" t="s">
        <v>36</v>
      </c>
      <c r="F34" s="3" t="s">
        <v>172</v>
      </c>
      <c r="G34" s="3" t="s">
        <v>104</v>
      </c>
      <c r="H34" s="3" t="s">
        <v>39</v>
      </c>
      <c r="I34" s="3" t="s">
        <v>173</v>
      </c>
      <c r="J34" s="3" t="s">
        <v>41</v>
      </c>
      <c r="K34" s="3" t="s">
        <v>52</v>
      </c>
      <c r="L34" s="7">
        <v>0.4</v>
      </c>
      <c r="M34" s="8">
        <v>480</v>
      </c>
      <c r="N34" s="8">
        <v>93</v>
      </c>
      <c r="O34" s="8">
        <v>156</v>
      </c>
      <c r="P34" s="8">
        <v>24</v>
      </c>
      <c r="Q34" s="8">
        <v>124000</v>
      </c>
      <c r="R34" s="8">
        <v>4100</v>
      </c>
      <c r="S34" s="8">
        <f t="shared" ref="S34:S65" si="3">SUM(M34:P34)+R34</f>
        <v>4853</v>
      </c>
      <c r="T34" s="9">
        <f t="shared" ref="T34:T65" si="4">IFERROR(S34/Q34,0)</f>
        <v>3.9137096774193546E-2</v>
      </c>
      <c r="U34" s="3" t="str">
        <f t="shared" ref="U34:U61" si="5">TEXT(B34,"dddd")</f>
        <v>Wednesday</v>
      </c>
      <c r="V34" s="3" t="s">
        <v>145</v>
      </c>
      <c r="W34" s="3" t="s">
        <v>41</v>
      </c>
      <c r="X34" s="3" t="s">
        <v>146</v>
      </c>
    </row>
    <row r="35" spans="1:24" ht="28.5">
      <c r="A35" s="3" t="s">
        <v>174</v>
      </c>
      <c r="B35" s="6">
        <v>46148.71597222222</v>
      </c>
      <c r="C35" s="3" t="s">
        <v>46</v>
      </c>
      <c r="D35" s="3" t="s">
        <v>47</v>
      </c>
      <c r="E35" s="3" t="s">
        <v>48</v>
      </c>
      <c r="F35" s="3" t="s">
        <v>175</v>
      </c>
      <c r="G35" s="3" t="s">
        <v>104</v>
      </c>
      <c r="H35" s="3" t="s">
        <v>50</v>
      </c>
      <c r="I35" s="3"/>
      <c r="J35" s="3" t="s">
        <v>51</v>
      </c>
      <c r="K35" s="3" t="s">
        <v>140</v>
      </c>
      <c r="L35" s="7">
        <v>0.04</v>
      </c>
      <c r="M35" s="8">
        <v>34</v>
      </c>
      <c r="N35" s="8">
        <v>6</v>
      </c>
      <c r="O35" s="8">
        <v>2</v>
      </c>
      <c r="P35" s="8">
        <v>0</v>
      </c>
      <c r="Q35" s="8">
        <v>2100</v>
      </c>
      <c r="R35" s="8">
        <v>0</v>
      </c>
      <c r="S35" s="8">
        <f t="shared" si="3"/>
        <v>42</v>
      </c>
      <c r="T35" s="9">
        <f t="shared" si="4"/>
        <v>0.02</v>
      </c>
      <c r="U35" s="3" t="str">
        <f t="shared" si="5"/>
        <v>Wednesday</v>
      </c>
      <c r="V35" s="3" t="s">
        <v>69</v>
      </c>
      <c r="W35" s="3" t="s">
        <v>41</v>
      </c>
      <c r="X35" s="3" t="s">
        <v>98</v>
      </c>
    </row>
    <row r="36" spans="1:24" ht="28.5">
      <c r="A36" s="3" t="s">
        <v>176</v>
      </c>
      <c r="B36" s="6">
        <v>46149.3125</v>
      </c>
      <c r="C36" s="3" t="s">
        <v>56</v>
      </c>
      <c r="D36" s="3" t="s">
        <v>47</v>
      </c>
      <c r="E36" s="3" t="s">
        <v>48</v>
      </c>
      <c r="F36" s="3" t="s">
        <v>177</v>
      </c>
      <c r="G36" s="3" t="s">
        <v>92</v>
      </c>
      <c r="H36" s="3" t="s">
        <v>50</v>
      </c>
      <c r="I36" s="3" t="s">
        <v>178</v>
      </c>
      <c r="J36" s="3" t="s">
        <v>51</v>
      </c>
      <c r="K36" s="3" t="s">
        <v>58</v>
      </c>
      <c r="L36" s="7">
        <v>-0.74</v>
      </c>
      <c r="M36" s="8">
        <v>52</v>
      </c>
      <c r="N36" s="8">
        <v>21</v>
      </c>
      <c r="O36" s="8">
        <v>8</v>
      </c>
      <c r="P36" s="8">
        <v>3</v>
      </c>
      <c r="Q36" s="8">
        <v>7700</v>
      </c>
      <c r="R36" s="8">
        <v>0</v>
      </c>
      <c r="S36" s="8">
        <f t="shared" si="3"/>
        <v>84</v>
      </c>
      <c r="T36" s="9">
        <f t="shared" si="4"/>
        <v>1.090909090909091E-2</v>
      </c>
      <c r="U36" s="3" t="str">
        <f t="shared" si="5"/>
        <v>Thursday</v>
      </c>
      <c r="V36" s="3" t="s">
        <v>101</v>
      </c>
      <c r="W36" s="3" t="s">
        <v>51</v>
      </c>
      <c r="X36" s="3" t="s">
        <v>141</v>
      </c>
    </row>
    <row r="37" spans="1:24" ht="42.75">
      <c r="A37" s="3" t="s">
        <v>179</v>
      </c>
      <c r="B37" s="6">
        <v>46149.334722222222</v>
      </c>
      <c r="C37" s="3" t="s">
        <v>46</v>
      </c>
      <c r="D37" s="3" t="s">
        <v>35</v>
      </c>
      <c r="E37" s="3" t="s">
        <v>36</v>
      </c>
      <c r="F37" s="3" t="s">
        <v>180</v>
      </c>
      <c r="G37" s="3" t="s">
        <v>92</v>
      </c>
      <c r="H37" s="3" t="s">
        <v>50</v>
      </c>
      <c r="I37" s="3" t="s">
        <v>93</v>
      </c>
      <c r="J37" s="3" t="s">
        <v>51</v>
      </c>
      <c r="K37" s="3" t="s">
        <v>42</v>
      </c>
      <c r="L37" s="7">
        <v>0</v>
      </c>
      <c r="M37" s="8">
        <v>141</v>
      </c>
      <c r="N37" s="8">
        <v>47</v>
      </c>
      <c r="O37" s="8">
        <v>39</v>
      </c>
      <c r="P37" s="8">
        <v>12</v>
      </c>
      <c r="Q37" s="8">
        <v>21900</v>
      </c>
      <c r="R37" s="8">
        <v>0</v>
      </c>
      <c r="S37" s="8">
        <f t="shared" si="3"/>
        <v>239</v>
      </c>
      <c r="T37" s="9">
        <f t="shared" si="4"/>
        <v>1.0913242009132421E-2</v>
      </c>
      <c r="U37" s="3" t="str">
        <f t="shared" si="5"/>
        <v>Thursday</v>
      </c>
      <c r="V37" s="3" t="s">
        <v>78</v>
      </c>
      <c r="W37" s="3" t="s">
        <v>41</v>
      </c>
      <c r="X37" s="3" t="s">
        <v>181</v>
      </c>
    </row>
    <row r="38" spans="1:24" ht="28.5">
      <c r="A38" s="3" t="s">
        <v>182</v>
      </c>
      <c r="B38" s="6">
        <v>46151.434027777781</v>
      </c>
      <c r="C38" s="3" t="s">
        <v>34</v>
      </c>
      <c r="D38" s="3" t="s">
        <v>35</v>
      </c>
      <c r="E38" s="3" t="s">
        <v>36</v>
      </c>
      <c r="F38" s="3" t="s">
        <v>183</v>
      </c>
      <c r="G38" s="3" t="s">
        <v>63</v>
      </c>
      <c r="H38" s="3" t="s">
        <v>39</v>
      </c>
      <c r="I38" s="3" t="s">
        <v>184</v>
      </c>
      <c r="J38" s="3" t="s">
        <v>41</v>
      </c>
      <c r="K38" s="3" t="s">
        <v>42</v>
      </c>
      <c r="L38" s="7">
        <v>0.25</v>
      </c>
      <c r="M38" s="8">
        <v>390</v>
      </c>
      <c r="N38" s="8">
        <v>29</v>
      </c>
      <c r="O38" s="8">
        <v>85</v>
      </c>
      <c r="P38" s="8">
        <v>4</v>
      </c>
      <c r="Q38" s="8">
        <v>90300</v>
      </c>
      <c r="R38" s="8">
        <v>2500</v>
      </c>
      <c r="S38" s="8">
        <f t="shared" si="3"/>
        <v>3008</v>
      </c>
      <c r="T38" s="9">
        <f t="shared" si="4"/>
        <v>3.3311184939091916E-2</v>
      </c>
      <c r="U38" s="3" t="str">
        <f t="shared" si="5"/>
        <v>Saturday</v>
      </c>
      <c r="V38" s="3" t="s">
        <v>43</v>
      </c>
      <c r="W38" s="3" t="s">
        <v>41</v>
      </c>
      <c r="X38" s="3" t="s">
        <v>120</v>
      </c>
    </row>
    <row r="39" spans="1:24" ht="28.5">
      <c r="A39" s="3" t="s">
        <v>185</v>
      </c>
      <c r="B39" s="6">
        <v>46152.784722222219</v>
      </c>
      <c r="C39" s="3" t="s">
        <v>56</v>
      </c>
      <c r="D39" s="3" t="s">
        <v>47</v>
      </c>
      <c r="E39" s="3" t="s">
        <v>48</v>
      </c>
      <c r="F39" s="3" t="s">
        <v>186</v>
      </c>
      <c r="G39" s="3" t="s">
        <v>63</v>
      </c>
      <c r="H39" s="3" t="s">
        <v>50</v>
      </c>
      <c r="I39" s="3"/>
      <c r="J39" s="3" t="s">
        <v>51</v>
      </c>
      <c r="K39" s="3" t="s">
        <v>52</v>
      </c>
      <c r="L39" s="7">
        <v>0.79</v>
      </c>
      <c r="M39" s="8">
        <v>47</v>
      </c>
      <c r="N39" s="8">
        <v>2</v>
      </c>
      <c r="O39" s="8">
        <v>5</v>
      </c>
      <c r="P39" s="8">
        <v>0</v>
      </c>
      <c r="Q39" s="8">
        <v>2500</v>
      </c>
      <c r="R39" s="8">
        <v>0</v>
      </c>
      <c r="S39" s="8">
        <f t="shared" si="3"/>
        <v>54</v>
      </c>
      <c r="T39" s="9">
        <f t="shared" si="4"/>
        <v>2.1600000000000001E-2</v>
      </c>
      <c r="U39" s="3" t="str">
        <f t="shared" si="5"/>
        <v>Sunday</v>
      </c>
      <c r="V39" s="3" t="s">
        <v>53</v>
      </c>
      <c r="W39" s="3" t="s">
        <v>41</v>
      </c>
      <c r="X39" s="3" t="s">
        <v>127</v>
      </c>
    </row>
    <row r="40" spans="1:24" ht="28.5">
      <c r="A40" s="3" t="s">
        <v>187</v>
      </c>
      <c r="B40" s="6">
        <v>46154.385416666664</v>
      </c>
      <c r="C40" s="3" t="s">
        <v>34</v>
      </c>
      <c r="D40" s="3" t="s">
        <v>35</v>
      </c>
      <c r="E40" s="3" t="s">
        <v>36</v>
      </c>
      <c r="F40" s="3" t="s">
        <v>188</v>
      </c>
      <c r="G40" s="3" t="s">
        <v>130</v>
      </c>
      <c r="H40" s="3" t="s">
        <v>105</v>
      </c>
      <c r="I40" s="3" t="s">
        <v>144</v>
      </c>
      <c r="J40" s="3" t="s">
        <v>41</v>
      </c>
      <c r="K40" s="3" t="s">
        <v>52</v>
      </c>
      <c r="L40" s="7">
        <v>0.38</v>
      </c>
      <c r="M40" s="8">
        <v>670</v>
      </c>
      <c r="N40" s="8">
        <v>58</v>
      </c>
      <c r="O40" s="8">
        <v>142</v>
      </c>
      <c r="P40" s="8">
        <v>16</v>
      </c>
      <c r="Q40" s="8">
        <v>111000</v>
      </c>
      <c r="R40" s="8">
        <v>5300</v>
      </c>
      <c r="S40" s="8">
        <f t="shared" si="3"/>
        <v>6186</v>
      </c>
      <c r="T40" s="9">
        <f t="shared" si="4"/>
        <v>5.5729729729729727E-2</v>
      </c>
      <c r="U40" s="3" t="str">
        <f t="shared" si="5"/>
        <v>Tuesday</v>
      </c>
      <c r="V40" s="3" t="s">
        <v>43</v>
      </c>
      <c r="W40" s="3" t="s">
        <v>41</v>
      </c>
      <c r="X40" s="3" t="s">
        <v>189</v>
      </c>
    </row>
    <row r="41" spans="1:24" ht="28.5">
      <c r="A41" s="3" t="s">
        <v>190</v>
      </c>
      <c r="B41" s="6">
        <v>46154.409722222219</v>
      </c>
      <c r="C41" s="3" t="s">
        <v>46</v>
      </c>
      <c r="D41" s="3" t="s">
        <v>47</v>
      </c>
      <c r="E41" s="3" t="s">
        <v>67</v>
      </c>
      <c r="F41" s="3" t="s">
        <v>191</v>
      </c>
      <c r="G41" s="3" t="s">
        <v>130</v>
      </c>
      <c r="H41" s="3" t="s">
        <v>50</v>
      </c>
      <c r="I41" s="3"/>
      <c r="J41" s="3" t="s">
        <v>51</v>
      </c>
      <c r="K41" s="3" t="s">
        <v>52</v>
      </c>
      <c r="L41" s="7">
        <v>0.83</v>
      </c>
      <c r="M41" s="8">
        <v>89</v>
      </c>
      <c r="N41" s="8">
        <v>5</v>
      </c>
      <c r="O41" s="8">
        <v>9</v>
      </c>
      <c r="P41" s="8">
        <v>0</v>
      </c>
      <c r="Q41" s="8">
        <v>6000</v>
      </c>
      <c r="R41" s="8">
        <v>0</v>
      </c>
      <c r="S41" s="8">
        <f t="shared" si="3"/>
        <v>103</v>
      </c>
      <c r="T41" s="9">
        <f t="shared" si="4"/>
        <v>1.7166666666666667E-2</v>
      </c>
      <c r="U41" s="3" t="str">
        <f t="shared" si="5"/>
        <v>Tuesday</v>
      </c>
      <c r="V41" s="3" t="s">
        <v>53</v>
      </c>
      <c r="W41" s="3" t="s">
        <v>41</v>
      </c>
      <c r="X41" s="3" t="s">
        <v>98</v>
      </c>
    </row>
    <row r="42" spans="1:24" ht="28.5">
      <c r="A42" s="3" t="s">
        <v>192</v>
      </c>
      <c r="B42" s="6">
        <v>46156.586805555555</v>
      </c>
      <c r="C42" s="3" t="s">
        <v>34</v>
      </c>
      <c r="D42" s="3" t="s">
        <v>35</v>
      </c>
      <c r="E42" s="3" t="s">
        <v>36</v>
      </c>
      <c r="F42" s="3" t="s">
        <v>193</v>
      </c>
      <c r="G42" s="3" t="s">
        <v>194</v>
      </c>
      <c r="H42" s="3" t="s">
        <v>39</v>
      </c>
      <c r="I42" s="3" t="s">
        <v>195</v>
      </c>
      <c r="J42" s="3" t="s">
        <v>41</v>
      </c>
      <c r="K42" s="3" t="s">
        <v>52</v>
      </c>
      <c r="L42" s="7">
        <v>0.32</v>
      </c>
      <c r="M42" s="8">
        <v>310</v>
      </c>
      <c r="N42" s="8">
        <v>112</v>
      </c>
      <c r="O42" s="8">
        <v>74</v>
      </c>
      <c r="P42" s="8">
        <v>18</v>
      </c>
      <c r="Q42" s="8">
        <v>98000</v>
      </c>
      <c r="R42" s="8">
        <v>1200</v>
      </c>
      <c r="S42" s="8">
        <f t="shared" si="3"/>
        <v>1714</v>
      </c>
      <c r="T42" s="9">
        <f t="shared" si="4"/>
        <v>1.7489795918367346E-2</v>
      </c>
      <c r="U42" s="3" t="str">
        <f t="shared" si="5"/>
        <v>Thursday</v>
      </c>
      <c r="V42" s="3" t="s">
        <v>94</v>
      </c>
      <c r="W42" s="3" t="s">
        <v>41</v>
      </c>
      <c r="X42" s="3" t="s">
        <v>120</v>
      </c>
    </row>
    <row r="43" spans="1:24" ht="28.5">
      <c r="A43" s="3" t="s">
        <v>196</v>
      </c>
      <c r="B43" s="6">
        <v>46156.626388888886</v>
      </c>
      <c r="C43" s="3" t="s">
        <v>46</v>
      </c>
      <c r="D43" s="3" t="s">
        <v>47</v>
      </c>
      <c r="E43" s="3" t="s">
        <v>48</v>
      </c>
      <c r="F43" s="3" t="s">
        <v>197</v>
      </c>
      <c r="G43" s="3" t="s">
        <v>194</v>
      </c>
      <c r="H43" s="3" t="s">
        <v>50</v>
      </c>
      <c r="I43" s="3"/>
      <c r="J43" s="3" t="s">
        <v>51</v>
      </c>
      <c r="K43" s="3" t="s">
        <v>140</v>
      </c>
      <c r="L43" s="7">
        <v>0.02</v>
      </c>
      <c r="M43" s="8">
        <v>58</v>
      </c>
      <c r="N43" s="8">
        <v>8</v>
      </c>
      <c r="O43" s="8">
        <v>6</v>
      </c>
      <c r="P43" s="8">
        <v>1</v>
      </c>
      <c r="Q43" s="8">
        <v>3400</v>
      </c>
      <c r="R43" s="8">
        <v>0</v>
      </c>
      <c r="S43" s="8">
        <f t="shared" si="3"/>
        <v>73</v>
      </c>
      <c r="T43" s="9">
        <f t="shared" si="4"/>
        <v>2.1470588235294116E-2</v>
      </c>
      <c r="U43" s="3" t="str">
        <f t="shared" si="5"/>
        <v>Thursday</v>
      </c>
      <c r="V43" s="3" t="s">
        <v>69</v>
      </c>
      <c r="W43" s="3" t="s">
        <v>41</v>
      </c>
      <c r="X43" s="3" t="s">
        <v>98</v>
      </c>
    </row>
    <row r="44" spans="1:24" ht="28.5">
      <c r="A44" s="3" t="s">
        <v>198</v>
      </c>
      <c r="B44" s="6">
        <v>46158.486111111109</v>
      </c>
      <c r="C44" s="3" t="s">
        <v>56</v>
      </c>
      <c r="D44" s="3" t="s">
        <v>47</v>
      </c>
      <c r="E44" s="3" t="s">
        <v>48</v>
      </c>
      <c r="F44" s="3" t="s">
        <v>199</v>
      </c>
      <c r="G44" s="3" t="s">
        <v>126</v>
      </c>
      <c r="H44" s="3" t="s">
        <v>50</v>
      </c>
      <c r="I44" s="3"/>
      <c r="J44" s="3" t="s">
        <v>51</v>
      </c>
      <c r="K44" s="3" t="s">
        <v>58</v>
      </c>
      <c r="L44" s="7">
        <v>-0.62</v>
      </c>
      <c r="M44" s="8">
        <v>17</v>
      </c>
      <c r="N44" s="8">
        <v>6</v>
      </c>
      <c r="O44" s="8">
        <v>2</v>
      </c>
      <c r="P44" s="8">
        <v>0</v>
      </c>
      <c r="Q44" s="8">
        <v>1250</v>
      </c>
      <c r="R44" s="8">
        <v>0</v>
      </c>
      <c r="S44" s="8">
        <f t="shared" si="3"/>
        <v>25</v>
      </c>
      <c r="T44" s="9">
        <f t="shared" si="4"/>
        <v>0.02</v>
      </c>
      <c r="U44" s="3" t="str">
        <f t="shared" si="5"/>
        <v>Saturday</v>
      </c>
      <c r="V44" s="3" t="s">
        <v>74</v>
      </c>
      <c r="W44" s="3" t="s">
        <v>51</v>
      </c>
      <c r="X44" s="3" t="s">
        <v>127</v>
      </c>
    </row>
    <row r="45" spans="1:24" ht="28.5">
      <c r="A45" s="3" t="s">
        <v>200</v>
      </c>
      <c r="B45" s="6">
        <v>46160.371527777781</v>
      </c>
      <c r="C45" s="3" t="s">
        <v>34</v>
      </c>
      <c r="D45" s="3" t="s">
        <v>35</v>
      </c>
      <c r="E45" s="3" t="s">
        <v>36</v>
      </c>
      <c r="F45" s="3" t="s">
        <v>201</v>
      </c>
      <c r="G45" s="3" t="s">
        <v>73</v>
      </c>
      <c r="H45" s="3" t="s">
        <v>82</v>
      </c>
      <c r="I45" s="3" t="s">
        <v>202</v>
      </c>
      <c r="J45" s="3" t="s">
        <v>41</v>
      </c>
      <c r="K45" s="3" t="s">
        <v>42</v>
      </c>
      <c r="L45" s="7">
        <v>0.18</v>
      </c>
      <c r="M45" s="8">
        <v>240</v>
      </c>
      <c r="N45" s="8">
        <v>26</v>
      </c>
      <c r="O45" s="8">
        <v>58</v>
      </c>
      <c r="P45" s="8">
        <v>6</v>
      </c>
      <c r="Q45" s="8">
        <v>88000</v>
      </c>
      <c r="R45" s="8">
        <v>2100</v>
      </c>
      <c r="S45" s="8">
        <f t="shared" si="3"/>
        <v>2430</v>
      </c>
      <c r="T45" s="9">
        <f t="shared" si="4"/>
        <v>2.7613636363636365E-2</v>
      </c>
      <c r="U45" s="3" t="str">
        <f t="shared" si="5"/>
        <v>Monday</v>
      </c>
      <c r="V45" s="3" t="s">
        <v>43</v>
      </c>
      <c r="W45" s="3" t="s">
        <v>41</v>
      </c>
      <c r="X45" s="3" t="s">
        <v>84</v>
      </c>
    </row>
    <row r="46" spans="1:24" ht="28.5">
      <c r="A46" s="3" t="s">
        <v>203</v>
      </c>
      <c r="B46" s="6">
        <v>46161.798611111109</v>
      </c>
      <c r="C46" s="3" t="s">
        <v>56</v>
      </c>
      <c r="D46" s="3" t="s">
        <v>47</v>
      </c>
      <c r="E46" s="3" t="s">
        <v>48</v>
      </c>
      <c r="F46" s="3" t="s">
        <v>204</v>
      </c>
      <c r="G46" s="3" t="s">
        <v>73</v>
      </c>
      <c r="H46" s="3" t="s">
        <v>50</v>
      </c>
      <c r="I46" s="3" t="s">
        <v>205</v>
      </c>
      <c r="J46" s="3" t="s">
        <v>51</v>
      </c>
      <c r="K46" s="3" t="s">
        <v>58</v>
      </c>
      <c r="L46" s="7">
        <v>-0.56999999999999995</v>
      </c>
      <c r="M46" s="8">
        <v>36</v>
      </c>
      <c r="N46" s="8">
        <v>13</v>
      </c>
      <c r="O46" s="8">
        <v>5</v>
      </c>
      <c r="P46" s="8">
        <v>1</v>
      </c>
      <c r="Q46" s="8">
        <v>4600</v>
      </c>
      <c r="R46" s="8">
        <v>0</v>
      </c>
      <c r="S46" s="8">
        <f t="shared" si="3"/>
        <v>55</v>
      </c>
      <c r="T46" s="9">
        <f t="shared" si="4"/>
        <v>1.1956521739130435E-2</v>
      </c>
      <c r="U46" s="3" t="str">
        <f t="shared" si="5"/>
        <v>Tuesday</v>
      </c>
      <c r="V46" s="3" t="s">
        <v>101</v>
      </c>
      <c r="W46" s="3" t="s">
        <v>51</v>
      </c>
      <c r="X46" s="3" t="s">
        <v>141</v>
      </c>
    </row>
    <row r="47" spans="1:24" ht="28.5">
      <c r="A47" s="3" t="s">
        <v>206</v>
      </c>
      <c r="B47" s="6">
        <v>46163.541666666664</v>
      </c>
      <c r="C47" s="3" t="s">
        <v>34</v>
      </c>
      <c r="D47" s="3" t="s">
        <v>35</v>
      </c>
      <c r="E47" s="3" t="s">
        <v>36</v>
      </c>
      <c r="F47" s="3" t="s">
        <v>207</v>
      </c>
      <c r="G47" s="3" t="s">
        <v>63</v>
      </c>
      <c r="H47" s="3" t="s">
        <v>82</v>
      </c>
      <c r="I47" s="3" t="s">
        <v>208</v>
      </c>
      <c r="J47" s="3" t="s">
        <v>41</v>
      </c>
      <c r="K47" s="3" t="s">
        <v>42</v>
      </c>
      <c r="L47" s="7">
        <v>0.2</v>
      </c>
      <c r="M47" s="8">
        <v>280</v>
      </c>
      <c r="N47" s="8">
        <v>37</v>
      </c>
      <c r="O47" s="8">
        <v>69</v>
      </c>
      <c r="P47" s="8">
        <v>9</v>
      </c>
      <c r="Q47" s="8">
        <v>79000</v>
      </c>
      <c r="R47" s="8">
        <v>3400</v>
      </c>
      <c r="S47" s="8">
        <f t="shared" si="3"/>
        <v>3795</v>
      </c>
      <c r="T47" s="9">
        <f t="shared" si="4"/>
        <v>4.8037974683544302E-2</v>
      </c>
      <c r="U47" s="3" t="str">
        <f t="shared" si="5"/>
        <v>Thursday</v>
      </c>
      <c r="V47" s="3" t="s">
        <v>43</v>
      </c>
      <c r="W47" s="3" t="s">
        <v>41</v>
      </c>
      <c r="X47" s="3" t="s">
        <v>84</v>
      </c>
    </row>
    <row r="48" spans="1:24" ht="28.5">
      <c r="A48" s="3" t="s">
        <v>209</v>
      </c>
      <c r="B48" s="6">
        <v>46164.4375</v>
      </c>
      <c r="C48" s="3" t="s">
        <v>46</v>
      </c>
      <c r="D48" s="3" t="s">
        <v>47</v>
      </c>
      <c r="E48" s="3" t="s">
        <v>48</v>
      </c>
      <c r="F48" s="3" t="s">
        <v>210</v>
      </c>
      <c r="G48" s="3" t="s">
        <v>63</v>
      </c>
      <c r="H48" s="3" t="s">
        <v>50</v>
      </c>
      <c r="I48" s="3"/>
      <c r="J48" s="3" t="s">
        <v>51</v>
      </c>
      <c r="K48" s="3" t="s">
        <v>42</v>
      </c>
      <c r="L48" s="7">
        <v>0.11</v>
      </c>
      <c r="M48" s="8">
        <v>23</v>
      </c>
      <c r="N48" s="8">
        <v>3</v>
      </c>
      <c r="O48" s="8">
        <v>3</v>
      </c>
      <c r="P48" s="8">
        <v>0</v>
      </c>
      <c r="Q48" s="8">
        <v>1600</v>
      </c>
      <c r="R48" s="8">
        <v>0</v>
      </c>
      <c r="S48" s="8">
        <f t="shared" si="3"/>
        <v>29</v>
      </c>
      <c r="T48" s="9">
        <f t="shared" si="4"/>
        <v>1.8124999999999999E-2</v>
      </c>
      <c r="U48" s="3" t="str">
        <f t="shared" si="5"/>
        <v>Friday</v>
      </c>
      <c r="V48" s="3" t="s">
        <v>69</v>
      </c>
      <c r="W48" s="3" t="s">
        <v>41</v>
      </c>
      <c r="X48" s="3" t="s">
        <v>98</v>
      </c>
    </row>
    <row r="49" spans="1:24" ht="28.5">
      <c r="A49" s="3" t="s">
        <v>211</v>
      </c>
      <c r="B49" s="6">
        <v>46166.681944444441</v>
      </c>
      <c r="C49" s="3" t="s">
        <v>34</v>
      </c>
      <c r="D49" s="3" t="s">
        <v>35</v>
      </c>
      <c r="E49" s="3" t="s">
        <v>36</v>
      </c>
      <c r="F49" s="3" t="s">
        <v>212</v>
      </c>
      <c r="G49" s="3" t="s">
        <v>38</v>
      </c>
      <c r="H49" s="3" t="s">
        <v>39</v>
      </c>
      <c r="I49" s="3" t="s">
        <v>213</v>
      </c>
      <c r="J49" s="3" t="s">
        <v>41</v>
      </c>
      <c r="K49" s="3" t="s">
        <v>42</v>
      </c>
      <c r="L49" s="7">
        <v>0.16</v>
      </c>
      <c r="M49" s="8">
        <v>1280</v>
      </c>
      <c r="N49" s="8">
        <v>118</v>
      </c>
      <c r="O49" s="8">
        <v>520</v>
      </c>
      <c r="P49" s="8">
        <v>47</v>
      </c>
      <c r="Q49" s="8">
        <v>210000</v>
      </c>
      <c r="R49" s="8">
        <v>10200</v>
      </c>
      <c r="S49" s="8">
        <f t="shared" si="3"/>
        <v>12165</v>
      </c>
      <c r="T49" s="9">
        <f t="shared" si="4"/>
        <v>5.7928571428571426E-2</v>
      </c>
      <c r="U49" s="3" t="str">
        <f t="shared" si="5"/>
        <v>Sunday</v>
      </c>
      <c r="V49" s="3" t="s">
        <v>43</v>
      </c>
      <c r="W49" s="3" t="s">
        <v>41</v>
      </c>
      <c r="X49" s="3" t="s">
        <v>120</v>
      </c>
    </row>
    <row r="50" spans="1:24" ht="28.5">
      <c r="A50" s="3" t="s">
        <v>214</v>
      </c>
      <c r="B50" s="6">
        <v>46166.711805555555</v>
      </c>
      <c r="C50" s="3" t="s">
        <v>56</v>
      </c>
      <c r="D50" s="3" t="s">
        <v>47</v>
      </c>
      <c r="E50" s="3" t="s">
        <v>48</v>
      </c>
      <c r="F50" s="3" t="s">
        <v>215</v>
      </c>
      <c r="G50" s="3" t="s">
        <v>38</v>
      </c>
      <c r="H50" s="3" t="s">
        <v>50</v>
      </c>
      <c r="I50" s="3"/>
      <c r="J50" s="3" t="s">
        <v>51</v>
      </c>
      <c r="K50" s="3" t="s">
        <v>52</v>
      </c>
      <c r="L50" s="7">
        <v>0.66</v>
      </c>
      <c r="M50" s="8">
        <v>76</v>
      </c>
      <c r="N50" s="8">
        <v>4</v>
      </c>
      <c r="O50" s="8">
        <v>13</v>
      </c>
      <c r="P50" s="8">
        <v>0</v>
      </c>
      <c r="Q50" s="8">
        <v>5200</v>
      </c>
      <c r="R50" s="8">
        <v>0</v>
      </c>
      <c r="S50" s="8">
        <f t="shared" si="3"/>
        <v>93</v>
      </c>
      <c r="T50" s="9">
        <f t="shared" si="4"/>
        <v>1.7884615384615384E-2</v>
      </c>
      <c r="U50" s="3" t="str">
        <f t="shared" si="5"/>
        <v>Sunday</v>
      </c>
      <c r="V50" s="3" t="s">
        <v>53</v>
      </c>
      <c r="W50" s="3" t="s">
        <v>41</v>
      </c>
      <c r="X50" s="3" t="s">
        <v>127</v>
      </c>
    </row>
    <row r="51" spans="1:24" ht="28.5">
      <c r="A51" s="3" t="s">
        <v>216</v>
      </c>
      <c r="B51" s="6">
        <v>46169.402777777781</v>
      </c>
      <c r="C51" s="3" t="s">
        <v>34</v>
      </c>
      <c r="D51" s="3" t="s">
        <v>35</v>
      </c>
      <c r="E51" s="3" t="s">
        <v>36</v>
      </c>
      <c r="F51" s="3" t="s">
        <v>217</v>
      </c>
      <c r="G51" s="3" t="s">
        <v>73</v>
      </c>
      <c r="H51" s="3" t="s">
        <v>39</v>
      </c>
      <c r="I51" s="3" t="s">
        <v>144</v>
      </c>
      <c r="J51" s="3" t="s">
        <v>41</v>
      </c>
      <c r="K51" s="3" t="s">
        <v>52</v>
      </c>
      <c r="L51" s="7">
        <v>0.44</v>
      </c>
      <c r="M51" s="8">
        <v>720</v>
      </c>
      <c r="N51" s="8">
        <v>156</v>
      </c>
      <c r="O51" s="8">
        <v>132</v>
      </c>
      <c r="P51" s="8">
        <v>35</v>
      </c>
      <c r="Q51" s="8">
        <v>149000</v>
      </c>
      <c r="R51" s="8">
        <v>4800</v>
      </c>
      <c r="S51" s="8">
        <f t="shared" si="3"/>
        <v>5843</v>
      </c>
      <c r="T51" s="9">
        <f t="shared" si="4"/>
        <v>3.9214765100671144E-2</v>
      </c>
      <c r="U51" s="3" t="str">
        <f t="shared" si="5"/>
        <v>Wednesday</v>
      </c>
      <c r="V51" s="3" t="s">
        <v>145</v>
      </c>
      <c r="W51" s="3" t="s">
        <v>41</v>
      </c>
      <c r="X51" s="3" t="s">
        <v>146</v>
      </c>
    </row>
    <row r="52" spans="1:24" ht="28.5">
      <c r="A52" s="3" t="s">
        <v>218</v>
      </c>
      <c r="B52" s="6">
        <v>46169.420138888891</v>
      </c>
      <c r="C52" s="3" t="s">
        <v>46</v>
      </c>
      <c r="D52" s="3" t="s">
        <v>47</v>
      </c>
      <c r="E52" s="3" t="s">
        <v>48</v>
      </c>
      <c r="F52" s="3" t="s">
        <v>219</v>
      </c>
      <c r="G52" s="3" t="s">
        <v>73</v>
      </c>
      <c r="H52" s="3" t="s">
        <v>50</v>
      </c>
      <c r="I52" s="3"/>
      <c r="J52" s="3" t="s">
        <v>51</v>
      </c>
      <c r="K52" s="3" t="s">
        <v>58</v>
      </c>
      <c r="L52" s="7">
        <v>-0.49</v>
      </c>
      <c r="M52" s="8">
        <v>67</v>
      </c>
      <c r="N52" s="8">
        <v>12</v>
      </c>
      <c r="O52" s="8">
        <v>5</v>
      </c>
      <c r="P52" s="8">
        <v>2</v>
      </c>
      <c r="Q52" s="8">
        <v>3900</v>
      </c>
      <c r="R52" s="8">
        <v>0</v>
      </c>
      <c r="S52" s="8">
        <f t="shared" si="3"/>
        <v>86</v>
      </c>
      <c r="T52" s="9">
        <f t="shared" si="4"/>
        <v>2.205128205128205E-2</v>
      </c>
      <c r="U52" s="3" t="str">
        <f t="shared" si="5"/>
        <v>Wednesday</v>
      </c>
      <c r="V52" s="3" t="s">
        <v>69</v>
      </c>
      <c r="W52" s="3" t="s">
        <v>41</v>
      </c>
      <c r="X52" s="3" t="s">
        <v>98</v>
      </c>
    </row>
    <row r="53" spans="1:24" ht="28.5">
      <c r="A53" s="3" t="s">
        <v>220</v>
      </c>
      <c r="B53" s="6">
        <v>46170.552083333336</v>
      </c>
      <c r="C53" s="3" t="s">
        <v>56</v>
      </c>
      <c r="D53" s="3" t="s">
        <v>47</v>
      </c>
      <c r="E53" s="3" t="s">
        <v>67</v>
      </c>
      <c r="F53" s="3" t="s">
        <v>221</v>
      </c>
      <c r="G53" s="3" t="s">
        <v>38</v>
      </c>
      <c r="H53" s="3" t="s">
        <v>50</v>
      </c>
      <c r="I53" s="3"/>
      <c r="J53" s="3" t="s">
        <v>51</v>
      </c>
      <c r="K53" s="3" t="s">
        <v>52</v>
      </c>
      <c r="L53" s="7">
        <v>0.76</v>
      </c>
      <c r="M53" s="8">
        <v>112</v>
      </c>
      <c r="N53" s="8">
        <v>6</v>
      </c>
      <c r="O53" s="8">
        <v>18</v>
      </c>
      <c r="P53" s="8">
        <v>1</v>
      </c>
      <c r="Q53" s="8">
        <v>7600</v>
      </c>
      <c r="R53" s="8">
        <v>0</v>
      </c>
      <c r="S53" s="8">
        <f t="shared" si="3"/>
        <v>137</v>
      </c>
      <c r="T53" s="9">
        <f t="shared" si="4"/>
        <v>1.8026315789473685E-2</v>
      </c>
      <c r="U53" s="3" t="str">
        <f t="shared" si="5"/>
        <v>Thursday</v>
      </c>
      <c r="V53" s="3" t="s">
        <v>53</v>
      </c>
      <c r="W53" s="3" t="s">
        <v>41</v>
      </c>
      <c r="X53" s="3" t="s">
        <v>222</v>
      </c>
    </row>
    <row r="54" spans="1:24" ht="28.5">
      <c r="A54" s="3" t="s">
        <v>223</v>
      </c>
      <c r="B54" s="6">
        <v>46174.354166666664</v>
      </c>
      <c r="C54" s="3" t="s">
        <v>34</v>
      </c>
      <c r="D54" s="3" t="s">
        <v>35</v>
      </c>
      <c r="E54" s="3" t="s">
        <v>36</v>
      </c>
      <c r="F54" s="3" t="s">
        <v>224</v>
      </c>
      <c r="G54" s="3" t="s">
        <v>63</v>
      </c>
      <c r="H54" s="3" t="s">
        <v>39</v>
      </c>
      <c r="I54" s="3" t="s">
        <v>64</v>
      </c>
      <c r="J54" s="3" t="s">
        <v>41</v>
      </c>
      <c r="K54" s="3" t="s">
        <v>42</v>
      </c>
      <c r="L54" s="7">
        <v>0.21</v>
      </c>
      <c r="M54" s="8">
        <v>340</v>
      </c>
      <c r="N54" s="8">
        <v>31</v>
      </c>
      <c r="O54" s="8">
        <v>76</v>
      </c>
      <c r="P54" s="8">
        <v>8</v>
      </c>
      <c r="Q54" s="8">
        <v>93000</v>
      </c>
      <c r="R54" s="8">
        <v>3600</v>
      </c>
      <c r="S54" s="8">
        <f t="shared" si="3"/>
        <v>4055</v>
      </c>
      <c r="T54" s="9">
        <f t="shared" si="4"/>
        <v>4.3602150537634408E-2</v>
      </c>
      <c r="U54" s="3" t="str">
        <f t="shared" si="5"/>
        <v>Monday</v>
      </c>
      <c r="V54" s="3" t="s">
        <v>43</v>
      </c>
      <c r="W54" s="3" t="s">
        <v>41</v>
      </c>
      <c r="X54" s="3" t="s">
        <v>95</v>
      </c>
    </row>
    <row r="55" spans="1:24" ht="28.5">
      <c r="A55" s="3" t="s">
        <v>225</v>
      </c>
      <c r="B55" s="6">
        <v>46175.763888888891</v>
      </c>
      <c r="C55" s="3" t="s">
        <v>56</v>
      </c>
      <c r="D55" s="3" t="s">
        <v>47</v>
      </c>
      <c r="E55" s="3" t="s">
        <v>48</v>
      </c>
      <c r="F55" s="3" t="s">
        <v>226</v>
      </c>
      <c r="G55" s="3" t="s">
        <v>73</v>
      </c>
      <c r="H55" s="3" t="s">
        <v>50</v>
      </c>
      <c r="I55" s="3"/>
      <c r="J55" s="3" t="s">
        <v>51</v>
      </c>
      <c r="K55" s="3" t="s">
        <v>140</v>
      </c>
      <c r="L55" s="7">
        <v>0.15</v>
      </c>
      <c r="M55" s="8">
        <v>84</v>
      </c>
      <c r="N55" s="8">
        <v>10</v>
      </c>
      <c r="O55" s="8">
        <v>11</v>
      </c>
      <c r="P55" s="8">
        <v>1</v>
      </c>
      <c r="Q55" s="8">
        <v>5900</v>
      </c>
      <c r="R55" s="8">
        <v>0</v>
      </c>
      <c r="S55" s="8">
        <f t="shared" si="3"/>
        <v>106</v>
      </c>
      <c r="T55" s="9">
        <f t="shared" si="4"/>
        <v>1.7966101694915255E-2</v>
      </c>
      <c r="U55" s="3" t="str">
        <f t="shared" si="5"/>
        <v>Tuesday</v>
      </c>
      <c r="V55" s="3" t="s">
        <v>69</v>
      </c>
      <c r="W55" s="3" t="s">
        <v>41</v>
      </c>
      <c r="X55" s="3" t="s">
        <v>127</v>
      </c>
    </row>
    <row r="56" spans="1:24" ht="28.5">
      <c r="A56" s="3" t="s">
        <v>227</v>
      </c>
      <c r="B56" s="6">
        <v>46178.5</v>
      </c>
      <c r="C56" s="3" t="s">
        <v>34</v>
      </c>
      <c r="D56" s="3" t="s">
        <v>35</v>
      </c>
      <c r="E56" s="3" t="s">
        <v>36</v>
      </c>
      <c r="F56" s="3" t="s">
        <v>228</v>
      </c>
      <c r="G56" s="3" t="s">
        <v>117</v>
      </c>
      <c r="H56" s="3" t="s">
        <v>105</v>
      </c>
      <c r="I56" s="3" t="s">
        <v>229</v>
      </c>
      <c r="J56" s="3" t="s">
        <v>41</v>
      </c>
      <c r="K56" s="3" t="s">
        <v>52</v>
      </c>
      <c r="L56" s="7">
        <v>0.69</v>
      </c>
      <c r="M56" s="8">
        <v>860</v>
      </c>
      <c r="N56" s="8">
        <v>44</v>
      </c>
      <c r="O56" s="8">
        <v>188</v>
      </c>
      <c r="P56" s="8">
        <v>14</v>
      </c>
      <c r="Q56" s="8">
        <v>125000</v>
      </c>
      <c r="R56" s="8">
        <v>3100</v>
      </c>
      <c r="S56" s="8">
        <f t="shared" si="3"/>
        <v>4206</v>
      </c>
      <c r="T56" s="9">
        <f t="shared" si="4"/>
        <v>3.3647999999999997E-2</v>
      </c>
      <c r="U56" s="3" t="str">
        <f t="shared" si="5"/>
        <v>Friday</v>
      </c>
      <c r="V56" s="3" t="s">
        <v>119</v>
      </c>
      <c r="W56" s="3" t="s">
        <v>41</v>
      </c>
      <c r="X56" s="3" t="s">
        <v>107</v>
      </c>
    </row>
    <row r="57" spans="1:24" ht="28.5">
      <c r="A57" s="3" t="s">
        <v>230</v>
      </c>
      <c r="B57" s="6">
        <v>46179.649305555555</v>
      </c>
      <c r="C57" s="3" t="s">
        <v>109</v>
      </c>
      <c r="D57" s="3" t="s">
        <v>122</v>
      </c>
      <c r="E57" s="3" t="s">
        <v>67</v>
      </c>
      <c r="F57" s="3" t="s">
        <v>231</v>
      </c>
      <c r="G57" s="3" t="s">
        <v>117</v>
      </c>
      <c r="H57" s="3" t="s">
        <v>39</v>
      </c>
      <c r="I57" s="3" t="s">
        <v>232</v>
      </c>
      <c r="J57" s="3" t="s">
        <v>51</v>
      </c>
      <c r="K57" s="3" t="s">
        <v>52</v>
      </c>
      <c r="L57" s="7">
        <v>0.88</v>
      </c>
      <c r="M57" s="8">
        <v>122</v>
      </c>
      <c r="N57" s="8">
        <v>4</v>
      </c>
      <c r="O57" s="8">
        <v>28</v>
      </c>
      <c r="P57" s="8">
        <v>2</v>
      </c>
      <c r="Q57" s="8">
        <v>6900</v>
      </c>
      <c r="R57" s="8">
        <v>0</v>
      </c>
      <c r="S57" s="8">
        <f t="shared" si="3"/>
        <v>156</v>
      </c>
      <c r="T57" s="9">
        <f t="shared" si="4"/>
        <v>2.2608695652173914E-2</v>
      </c>
      <c r="U57" s="3" t="str">
        <f t="shared" si="5"/>
        <v>Saturday</v>
      </c>
      <c r="V57" s="3" t="s">
        <v>53</v>
      </c>
      <c r="W57" s="3" t="s">
        <v>41</v>
      </c>
      <c r="X57" s="3" t="s">
        <v>114</v>
      </c>
    </row>
    <row r="58" spans="1:24" ht="28.5">
      <c r="A58" s="3" t="s">
        <v>233</v>
      </c>
      <c r="B58" s="6">
        <v>46182.392361111109</v>
      </c>
      <c r="C58" s="3" t="s">
        <v>34</v>
      </c>
      <c r="D58" s="3" t="s">
        <v>35</v>
      </c>
      <c r="E58" s="3" t="s">
        <v>36</v>
      </c>
      <c r="F58" s="3" t="s">
        <v>234</v>
      </c>
      <c r="G58" s="3" t="s">
        <v>104</v>
      </c>
      <c r="H58" s="3" t="s">
        <v>39</v>
      </c>
      <c r="I58" s="3" t="s">
        <v>235</v>
      </c>
      <c r="J58" s="3" t="s">
        <v>41</v>
      </c>
      <c r="K58" s="3" t="s">
        <v>42</v>
      </c>
      <c r="L58" s="7">
        <v>0.19</v>
      </c>
      <c r="M58" s="8">
        <v>740</v>
      </c>
      <c r="N58" s="8">
        <v>63</v>
      </c>
      <c r="O58" s="8">
        <v>295</v>
      </c>
      <c r="P58" s="8">
        <v>22</v>
      </c>
      <c r="Q58" s="8">
        <v>151000</v>
      </c>
      <c r="R58" s="8">
        <v>7200</v>
      </c>
      <c r="S58" s="8">
        <f t="shared" si="3"/>
        <v>8320</v>
      </c>
      <c r="T58" s="9">
        <f t="shared" si="4"/>
        <v>5.5099337748344371E-2</v>
      </c>
      <c r="U58" s="3" t="str">
        <f t="shared" si="5"/>
        <v>Tuesday</v>
      </c>
      <c r="V58" s="3" t="s">
        <v>43</v>
      </c>
      <c r="W58" s="3" t="s">
        <v>41</v>
      </c>
      <c r="X58" s="3" t="s">
        <v>120</v>
      </c>
    </row>
    <row r="59" spans="1:24" ht="28.5">
      <c r="A59" s="3" t="s">
        <v>236</v>
      </c>
      <c r="B59" s="6">
        <v>46183.841666666667</v>
      </c>
      <c r="C59" s="3" t="s">
        <v>56</v>
      </c>
      <c r="D59" s="3" t="s">
        <v>47</v>
      </c>
      <c r="E59" s="3" t="s">
        <v>48</v>
      </c>
      <c r="F59" s="3" t="s">
        <v>237</v>
      </c>
      <c r="G59" s="3" t="s">
        <v>38</v>
      </c>
      <c r="H59" s="3" t="s">
        <v>50</v>
      </c>
      <c r="I59" s="3"/>
      <c r="J59" s="3" t="s">
        <v>51</v>
      </c>
      <c r="K59" s="3" t="s">
        <v>58</v>
      </c>
      <c r="L59" s="7">
        <v>-0.64</v>
      </c>
      <c r="M59" s="8">
        <v>45</v>
      </c>
      <c r="N59" s="8">
        <v>12</v>
      </c>
      <c r="O59" s="8">
        <v>4</v>
      </c>
      <c r="P59" s="8">
        <v>1</v>
      </c>
      <c r="Q59" s="8">
        <v>4100</v>
      </c>
      <c r="R59" s="8">
        <v>0</v>
      </c>
      <c r="S59" s="8">
        <f t="shared" si="3"/>
        <v>62</v>
      </c>
      <c r="T59" s="9">
        <f t="shared" si="4"/>
        <v>1.5121951219512195E-2</v>
      </c>
      <c r="U59" s="3" t="str">
        <f t="shared" si="5"/>
        <v>Wednesday</v>
      </c>
      <c r="V59" s="3" t="s">
        <v>74</v>
      </c>
      <c r="W59" s="3" t="s">
        <v>51</v>
      </c>
      <c r="X59" s="3" t="s">
        <v>127</v>
      </c>
    </row>
    <row r="60" spans="1:24" ht="28.5">
      <c r="A60" s="3" t="s">
        <v>238</v>
      </c>
      <c r="B60" s="6">
        <v>46185.465277777781</v>
      </c>
      <c r="C60" s="3" t="s">
        <v>34</v>
      </c>
      <c r="D60" s="3" t="s">
        <v>35</v>
      </c>
      <c r="E60" s="3" t="s">
        <v>36</v>
      </c>
      <c r="F60" s="3" t="s">
        <v>239</v>
      </c>
      <c r="G60" s="3" t="s">
        <v>73</v>
      </c>
      <c r="H60" s="3" t="s">
        <v>39</v>
      </c>
      <c r="I60" s="3" t="s">
        <v>240</v>
      </c>
      <c r="J60" s="3" t="s">
        <v>41</v>
      </c>
      <c r="K60" s="3" t="s">
        <v>52</v>
      </c>
      <c r="L60" s="7">
        <v>0.61</v>
      </c>
      <c r="M60" s="8">
        <v>690</v>
      </c>
      <c r="N60" s="8">
        <v>73</v>
      </c>
      <c r="O60" s="8">
        <v>148</v>
      </c>
      <c r="P60" s="8">
        <v>20</v>
      </c>
      <c r="Q60" s="8">
        <v>121000</v>
      </c>
      <c r="R60" s="8">
        <v>3900</v>
      </c>
      <c r="S60" s="8">
        <f t="shared" si="3"/>
        <v>4831</v>
      </c>
      <c r="T60" s="9">
        <f t="shared" si="4"/>
        <v>3.992561983471074E-2</v>
      </c>
      <c r="U60" s="3" t="str">
        <f t="shared" si="5"/>
        <v>Friday</v>
      </c>
      <c r="V60" s="3" t="s">
        <v>145</v>
      </c>
      <c r="W60" s="3" t="s">
        <v>41</v>
      </c>
      <c r="X60" s="3" t="s">
        <v>120</v>
      </c>
    </row>
    <row r="61" spans="1:24" ht="28.5">
      <c r="A61" s="3" t="s">
        <v>241</v>
      </c>
      <c r="B61" s="6">
        <v>46185.504166666666</v>
      </c>
      <c r="C61" s="3" t="s">
        <v>46</v>
      </c>
      <c r="D61" s="3" t="s">
        <v>47</v>
      </c>
      <c r="E61" s="3" t="s">
        <v>48</v>
      </c>
      <c r="F61" s="3" t="s">
        <v>242</v>
      </c>
      <c r="G61" s="3" t="s">
        <v>73</v>
      </c>
      <c r="H61" s="3" t="s">
        <v>50</v>
      </c>
      <c r="I61" s="3"/>
      <c r="J61" s="3" t="s">
        <v>51</v>
      </c>
      <c r="K61" s="3" t="s">
        <v>140</v>
      </c>
      <c r="L61" s="7">
        <v>0.25</v>
      </c>
      <c r="M61" s="8">
        <v>38</v>
      </c>
      <c r="N61" s="8">
        <v>5</v>
      </c>
      <c r="O61" s="8">
        <v>3</v>
      </c>
      <c r="P61" s="8">
        <v>0</v>
      </c>
      <c r="Q61" s="8">
        <v>2400</v>
      </c>
      <c r="R61" s="8">
        <v>0</v>
      </c>
      <c r="S61" s="8">
        <f t="shared" si="3"/>
        <v>46</v>
      </c>
      <c r="T61" s="9">
        <f t="shared" si="4"/>
        <v>1.9166666666666665E-2</v>
      </c>
      <c r="U61" s="3" t="str">
        <f t="shared" si="5"/>
        <v>Friday</v>
      </c>
      <c r="V61" s="3" t="s">
        <v>69</v>
      </c>
      <c r="W61" s="3" t="s">
        <v>41</v>
      </c>
      <c r="X61" s="3" t="s">
        <v>98</v>
      </c>
    </row>
  </sheetData>
  <conditionalFormatting sqref="T2:T61">
    <cfRule type="colorScale" priority="1">
      <colorScale>
        <cfvo type="min"/>
        <cfvo type="percentile" val="50"/>
        <cfvo type="max"/>
        <color rgb="FFFEE2E2"/>
        <color rgb="FFFEF3C7"/>
        <color rgb="FFDCFCE7"/>
      </colorScale>
    </cfRule>
  </conditionalFormatting>
  <conditionalFormatting sqref="L2:L61">
    <cfRule type="colorScale" priority="2">
      <colorScale>
        <cfvo type="min"/>
        <cfvo type="percentile" val="50"/>
        <cfvo type="max"/>
        <color rgb="FFFECACA"/>
        <color rgb="FFF3F4F6"/>
        <color rgb="FFBBF7D0"/>
      </colorScale>
    </cfRule>
  </conditionalFormatting>
  <conditionalFormatting sqref="W2:W61">
    <cfRule type="expression" dxfId="0" priority="3">
      <formula>$W2="Yes"</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5"/>
  <sheetViews>
    <sheetView tabSelected="1" workbookViewId="0">
      <selection activeCell="F1" sqref="F1:F1048576"/>
    </sheetView>
  </sheetViews>
  <sheetFormatPr defaultRowHeight="14.25"/>
  <cols>
    <col min="1" max="1" width="22" customWidth="1"/>
    <col min="2" max="2" width="44" customWidth="1"/>
    <col min="3" max="3" width="42" customWidth="1"/>
    <col min="4" max="4" width="40" customWidth="1"/>
  </cols>
  <sheetData>
    <row r="1" spans="1:4" ht="15">
      <c r="A1" s="5" t="s">
        <v>243</v>
      </c>
      <c r="B1" s="5" t="s">
        <v>244</v>
      </c>
      <c r="C1" s="5" t="s">
        <v>245</v>
      </c>
      <c r="D1" s="5" t="s">
        <v>246</v>
      </c>
    </row>
    <row r="2" spans="1:4" ht="28.5">
      <c r="A2" s="3" t="s">
        <v>9</v>
      </c>
      <c r="B2" s="3" t="s">
        <v>247</v>
      </c>
      <c r="C2" s="3" t="s">
        <v>248</v>
      </c>
      <c r="D2" s="3" t="s">
        <v>249</v>
      </c>
    </row>
    <row r="3" spans="1:4">
      <c r="A3" s="3" t="s">
        <v>10</v>
      </c>
      <c r="B3" s="3" t="s">
        <v>250</v>
      </c>
      <c r="C3" s="3" t="s">
        <v>251</v>
      </c>
      <c r="D3" s="3" t="s">
        <v>252</v>
      </c>
    </row>
    <row r="4" spans="1:4" ht="28.5">
      <c r="A4" s="3" t="s">
        <v>11</v>
      </c>
      <c r="B4" s="3" t="s">
        <v>253</v>
      </c>
      <c r="C4" s="3" t="s">
        <v>254</v>
      </c>
      <c r="D4" s="3" t="s">
        <v>255</v>
      </c>
    </row>
    <row r="5" spans="1:4" ht="28.5">
      <c r="A5" s="3" t="s">
        <v>12</v>
      </c>
      <c r="B5" s="3" t="s">
        <v>256</v>
      </c>
      <c r="C5" s="3" t="s">
        <v>257</v>
      </c>
      <c r="D5" s="3" t="s">
        <v>258</v>
      </c>
    </row>
    <row r="6" spans="1:4" ht="28.5">
      <c r="A6" s="3" t="s">
        <v>13</v>
      </c>
      <c r="B6" s="3" t="s">
        <v>259</v>
      </c>
      <c r="C6" s="3" t="s">
        <v>260</v>
      </c>
      <c r="D6" s="3" t="s">
        <v>261</v>
      </c>
    </row>
    <row r="7" spans="1:4">
      <c r="A7" s="3" t="s">
        <v>14</v>
      </c>
      <c r="B7" s="3" t="s">
        <v>262</v>
      </c>
      <c r="C7" s="3" t="s">
        <v>263</v>
      </c>
      <c r="D7" s="3" t="s">
        <v>264</v>
      </c>
    </row>
    <row r="8" spans="1:4" ht="28.5">
      <c r="A8" s="3" t="s">
        <v>15</v>
      </c>
      <c r="B8" s="3" t="s">
        <v>265</v>
      </c>
      <c r="C8" s="3" t="s">
        <v>266</v>
      </c>
      <c r="D8" s="3" t="s">
        <v>267</v>
      </c>
    </row>
    <row r="9" spans="1:4" ht="28.5">
      <c r="A9" s="3" t="s">
        <v>16</v>
      </c>
      <c r="B9" s="3" t="s">
        <v>268</v>
      </c>
      <c r="C9" s="3" t="s">
        <v>269</v>
      </c>
      <c r="D9" s="3" t="s">
        <v>270</v>
      </c>
    </row>
    <row r="10" spans="1:4">
      <c r="A10" s="3" t="s">
        <v>17</v>
      </c>
      <c r="B10" s="3" t="s">
        <v>271</v>
      </c>
      <c r="C10" s="3" t="s">
        <v>272</v>
      </c>
      <c r="D10" s="3" t="s">
        <v>273</v>
      </c>
    </row>
    <row r="11" spans="1:4" ht="28.5">
      <c r="A11" s="3" t="s">
        <v>18</v>
      </c>
      <c r="B11" s="3" t="s">
        <v>274</v>
      </c>
      <c r="C11" s="3" t="s">
        <v>275</v>
      </c>
      <c r="D11" s="3" t="s">
        <v>276</v>
      </c>
    </row>
    <row r="12" spans="1:4" ht="28.5">
      <c r="A12" s="3" t="s">
        <v>19</v>
      </c>
      <c r="B12" s="3" t="s">
        <v>277</v>
      </c>
      <c r="C12" s="3" t="s">
        <v>278</v>
      </c>
      <c r="D12" s="3" t="s">
        <v>279</v>
      </c>
    </row>
    <row r="13" spans="1:4" ht="28.5">
      <c r="A13" s="3" t="s">
        <v>20</v>
      </c>
      <c r="B13" s="3" t="s">
        <v>280</v>
      </c>
      <c r="C13" s="3" t="s">
        <v>281</v>
      </c>
      <c r="D13" s="3" t="s">
        <v>279</v>
      </c>
    </row>
    <row r="14" spans="1:4">
      <c r="A14" s="3" t="s">
        <v>21</v>
      </c>
      <c r="B14" s="3" t="s">
        <v>282</v>
      </c>
      <c r="C14" s="3" t="s">
        <v>283</v>
      </c>
      <c r="D14" s="3" t="s">
        <v>284</v>
      </c>
    </row>
    <row r="15" spans="1:4" ht="28.5">
      <c r="A15" s="3" t="s">
        <v>22</v>
      </c>
      <c r="B15" s="3" t="s">
        <v>285</v>
      </c>
      <c r="C15" s="3" t="s">
        <v>286</v>
      </c>
      <c r="D15" s="3" t="s">
        <v>287</v>
      </c>
    </row>
    <row r="16" spans="1:4">
      <c r="A16" s="3" t="s">
        <v>23</v>
      </c>
      <c r="B16" s="3" t="s">
        <v>288</v>
      </c>
      <c r="C16" s="3" t="s">
        <v>289</v>
      </c>
      <c r="D16" s="3" t="s">
        <v>290</v>
      </c>
    </row>
    <row r="17" spans="1:4" ht="28.5">
      <c r="A17" s="3" t="s">
        <v>24</v>
      </c>
      <c r="B17" s="3" t="s">
        <v>291</v>
      </c>
      <c r="C17" s="3" t="s">
        <v>292</v>
      </c>
      <c r="D17" s="3" t="s">
        <v>293</v>
      </c>
    </row>
    <row r="18" spans="1:4" ht="28.5">
      <c r="A18" s="3" t="s">
        <v>25</v>
      </c>
      <c r="B18" s="3" t="s">
        <v>294</v>
      </c>
      <c r="C18" s="3" t="s">
        <v>295</v>
      </c>
      <c r="D18" s="3" t="s">
        <v>296</v>
      </c>
    </row>
    <row r="19" spans="1:4" ht="28.5">
      <c r="A19" s="3" t="s">
        <v>26</v>
      </c>
      <c r="B19" s="3" t="s">
        <v>297</v>
      </c>
      <c r="C19" s="3" t="s">
        <v>298</v>
      </c>
      <c r="D19" s="3" t="s">
        <v>299</v>
      </c>
    </row>
    <row r="20" spans="1:4" ht="28.5">
      <c r="A20" s="3" t="s">
        <v>27</v>
      </c>
      <c r="B20" s="3" t="s">
        <v>300</v>
      </c>
      <c r="C20" s="3" t="s">
        <v>301</v>
      </c>
      <c r="D20" s="3" t="s">
        <v>302</v>
      </c>
    </row>
    <row r="21" spans="1:4" ht="28.5">
      <c r="A21" s="3" t="s">
        <v>28</v>
      </c>
      <c r="B21" s="3" t="s">
        <v>303</v>
      </c>
      <c r="C21" s="3" t="s">
        <v>304</v>
      </c>
      <c r="D21" s="3" t="s">
        <v>302</v>
      </c>
    </row>
    <row r="22" spans="1:4">
      <c r="A22" s="3" t="s">
        <v>29</v>
      </c>
      <c r="B22" s="3" t="s">
        <v>305</v>
      </c>
      <c r="C22" s="3" t="s">
        <v>306</v>
      </c>
      <c r="D22" s="3" t="s">
        <v>307</v>
      </c>
    </row>
    <row r="23" spans="1:4" ht="28.5">
      <c r="A23" s="3" t="s">
        <v>30</v>
      </c>
      <c r="B23" s="3" t="s">
        <v>308</v>
      </c>
      <c r="C23" s="3" t="s">
        <v>309</v>
      </c>
      <c r="D23" s="3" t="s">
        <v>310</v>
      </c>
    </row>
    <row r="24" spans="1:4" ht="28.5">
      <c r="A24" s="3" t="s">
        <v>31</v>
      </c>
      <c r="B24" s="3" t="s">
        <v>311</v>
      </c>
      <c r="C24" s="3" t="s">
        <v>312</v>
      </c>
      <c r="D24" s="3" t="s">
        <v>313</v>
      </c>
    </row>
    <row r="25" spans="1:4" ht="28.5">
      <c r="A25" s="3" t="s">
        <v>32</v>
      </c>
      <c r="B25" s="3" t="s">
        <v>314</v>
      </c>
      <c r="C25" s="3" t="s">
        <v>315</v>
      </c>
      <c r="D25" s="3" t="s">
        <v>316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defaultRowHeight="14.25"/>
  <cols>
    <col min="1" max="1" width="22" customWidth="1"/>
    <col min="2" max="2" width="70" customWidth="1"/>
    <col min="3" max="3" width="45" customWidth="1"/>
  </cols>
  <sheetData>
    <row r="1" spans="1:3" ht="15">
      <c r="A1" s="5" t="s">
        <v>317</v>
      </c>
      <c r="B1" s="5" t="s">
        <v>318</v>
      </c>
      <c r="C1" s="5" t="s">
        <v>319</v>
      </c>
    </row>
    <row r="2" spans="1:3" ht="28.5">
      <c r="A2" s="3" t="s">
        <v>320</v>
      </c>
      <c r="B2" s="3" t="s">
        <v>321</v>
      </c>
      <c r="C2" s="3" t="s">
        <v>322</v>
      </c>
    </row>
    <row r="3" spans="1:3" ht="28.5">
      <c r="A3" s="3" t="s">
        <v>323</v>
      </c>
      <c r="B3" s="3" t="s">
        <v>324</v>
      </c>
      <c r="C3" s="3" t="s">
        <v>325</v>
      </c>
    </row>
    <row r="4" spans="1:3">
      <c r="A4" s="3" t="s">
        <v>326</v>
      </c>
      <c r="B4" s="3" t="s">
        <v>327</v>
      </c>
      <c r="C4" s="3" t="s">
        <v>328</v>
      </c>
    </row>
    <row r="5" spans="1:3" ht="28.5">
      <c r="A5" s="3" t="s">
        <v>78</v>
      </c>
      <c r="B5" s="3" t="s">
        <v>329</v>
      </c>
      <c r="C5" s="3" t="s">
        <v>330</v>
      </c>
    </row>
    <row r="6" spans="1:3" ht="28.5">
      <c r="A6" s="3" t="s">
        <v>331</v>
      </c>
      <c r="B6" s="3" t="s">
        <v>332</v>
      </c>
      <c r="C6" s="3" t="s">
        <v>333</v>
      </c>
    </row>
    <row r="7" spans="1:3">
      <c r="A7" s="3" t="s">
        <v>334</v>
      </c>
      <c r="B7" s="3" t="s">
        <v>335</v>
      </c>
      <c r="C7" s="3" t="s">
        <v>336</v>
      </c>
    </row>
    <row r="8" spans="1:3">
      <c r="A8" s="3" t="s">
        <v>337</v>
      </c>
      <c r="B8" s="3" t="s">
        <v>338</v>
      </c>
      <c r="C8" s="3" t="s">
        <v>339</v>
      </c>
    </row>
    <row r="9" spans="1:3">
      <c r="A9" s="3" t="s">
        <v>340</v>
      </c>
      <c r="B9" s="3" t="s">
        <v>341</v>
      </c>
      <c r="C9" s="3" t="s">
        <v>342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4.25"/>
  <cols>
    <col min="1" max="1" width="28" customWidth="1"/>
    <col min="2" max="2" width="48" customWidth="1"/>
    <col min="3" max="3" width="110" customWidth="1"/>
  </cols>
  <sheetData>
    <row r="1" spans="1:3" ht="15">
      <c r="A1" s="5" t="s">
        <v>343</v>
      </c>
      <c r="B1" s="5" t="s">
        <v>344</v>
      </c>
      <c r="C1" s="5" t="s">
        <v>345</v>
      </c>
    </row>
    <row r="2" spans="1:3" ht="28.5">
      <c r="A2" s="3" t="s">
        <v>346</v>
      </c>
      <c r="B2" s="3" t="s">
        <v>347</v>
      </c>
      <c r="C2" s="3" t="s">
        <v>348</v>
      </c>
    </row>
    <row r="3" spans="1:3" ht="28.5">
      <c r="A3" s="3" t="s">
        <v>349</v>
      </c>
      <c r="B3" s="3" t="s">
        <v>350</v>
      </c>
      <c r="C3" s="3" t="s">
        <v>351</v>
      </c>
    </row>
    <row r="4" spans="1:3" ht="28.5">
      <c r="A4" s="3" t="s">
        <v>352</v>
      </c>
      <c r="B4" s="3" t="s">
        <v>353</v>
      </c>
      <c r="C4" s="3" t="s">
        <v>354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Sheet1</vt:lpstr>
      <vt:lpstr>Social_Media_Posts</vt:lpstr>
      <vt:lpstr>Data_Dictionary</vt:lpstr>
      <vt:lpstr>Analysis_Prompts</vt:lpstr>
      <vt:lpstr>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gurtej singh</cp:lastModifiedBy>
  <dcterms:modified xsi:type="dcterms:W3CDTF">2026-09-18T05:18:38Z</dcterms:modified>
</cp:coreProperties>
</file>